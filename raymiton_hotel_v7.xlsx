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edger" sheetId="1" r:id="rId5"/>
    <sheet state="visible" name="Debtors" sheetId="2" r:id="rId6"/>
    <sheet state="visible" name="Category Analysis" sheetId="3" r:id="rId7"/>
    <sheet state="visible" name="Category Guide" sheetId="4" r:id="rId8"/>
  </sheets>
  <definedNames/>
  <calcPr/>
</workbook>
</file>

<file path=xl/sharedStrings.xml><?xml version="1.0" encoding="utf-8"?>
<sst xmlns="http://schemas.openxmlformats.org/spreadsheetml/2006/main" count="481" uniqueCount="87">
  <si>
    <t>🏨  RAYMITON HOTEL  —  Income &amp; Expense Ledger</t>
  </si>
  <si>
    <t>Only fill: Date · Type · Category · Description · Total Charged · Amount Paid  —  Everything else calculates automatically</t>
  </si>
  <si>
    <t>Date</t>
  </si>
  <si>
    <t>Type</t>
  </si>
  <si>
    <t>Category</t>
  </si>
  <si>
    <t>Description</t>
  </si>
  <si>
    <t>Total Charged (₦)</t>
  </si>
  <si>
    <t>Amount Paid (₦)</t>
  </si>
  <si>
    <t>Balance Owed (₦) ⚙️</t>
  </si>
  <si>
    <t>Status ⚙️</t>
  </si>
  <si>
    <t>Running Balance (₦) ⚙️</t>
  </si>
  <si>
    <t>INCOME</t>
  </si>
  <si>
    <t>Rooms</t>
  </si>
  <si>
    <t>Lodge - Customer 1 (Room 1) Night</t>
  </si>
  <si>
    <t>Lodge - Customer 2 (Room 4) Short</t>
  </si>
  <si>
    <t>Lodge - (Pastor) (Room 4)</t>
  </si>
  <si>
    <t>EXPENSE</t>
  </si>
  <si>
    <t>Utilities</t>
  </si>
  <si>
    <t>SLTV Sub 1 Month</t>
  </si>
  <si>
    <t>Supplies</t>
  </si>
  <si>
    <t>Soap &amp; Toiletries</t>
  </si>
  <si>
    <t>Gas Cylinder Fill - Generator</t>
  </si>
  <si>
    <t>Bar</t>
  </si>
  <si>
    <t>Packet of Bottle Water</t>
  </si>
  <si>
    <t>Bottle of Water</t>
  </si>
  <si>
    <t>Gas fill 12kg</t>
  </si>
  <si>
    <t>Bottle of Water Small</t>
  </si>
  <si>
    <t>Drinks (6 malts-33) (Half Crate Minera-33)</t>
  </si>
  <si>
    <t>Lodge - Jiro (Room 2) Night</t>
  </si>
  <si>
    <t>Salaries</t>
  </si>
  <si>
    <t>Chidera Stipend</t>
  </si>
  <si>
    <t>Lodge (Lupenz) (Short) Room 4</t>
  </si>
  <si>
    <t>Snooker</t>
  </si>
  <si>
    <t>Backup Gas</t>
  </si>
  <si>
    <t>Lodge Jiro (Night) Room 3</t>
  </si>
  <si>
    <t>2 Malt 1 Fanta 2 bottle water(Jiro)</t>
  </si>
  <si>
    <t>Lodge Customer 1 (Night) Room 1</t>
  </si>
  <si>
    <t>Lodge Jiro (Night) Room 2</t>
  </si>
  <si>
    <t>Lodge Room 3 (Short) Room 3</t>
  </si>
  <si>
    <t>Lodge Let Love Lead (Night) Room 4</t>
  </si>
  <si>
    <t>Lodge Captain (Short) Room 5</t>
  </si>
  <si>
    <t>Lodge Humble (Night) Room 6</t>
  </si>
  <si>
    <t>Humble Drinks</t>
  </si>
  <si>
    <t>SUMMARY</t>
  </si>
  <si>
    <t>TOTAL INCOME (Cash Received)</t>
  </si>
  <si>
    <t>TOTAL EXPENSES (Cash Paid Out)</t>
  </si>
  <si>
    <t>NET PROFIT / LOSS</t>
  </si>
  <si>
    <t>⚠️  TOTAL OUTSTANDING (Owed to Hotel)</t>
  </si>
  <si>
    <t>🏨  RAYMITON HOTEL  —  Who Owes Us Money</t>
  </si>
  <si>
    <t>Live from Daily Ledger — updates the moment you change Amount Paid on any row</t>
  </si>
  <si>
    <t>Balance Owed (₦)</t>
  </si>
  <si>
    <t>Status</t>
  </si>
  <si>
    <t>⚙️  LIVE VIEW: Formulas below auto-pull any INCOME row where Balance Owed &gt; 0. Edit Amount Paid in Daily Ledger — this list updates instantly.</t>
  </si>
  <si>
    <t>Paid</t>
  </si>
  <si>
    <t>TOTAL OUTSTANDING</t>
  </si>
  <si>
    <t>Not Paid</t>
  </si>
  <si>
    <t>Part Payment</t>
  </si>
  <si>
    <t/>
  </si>
  <si>
    <t>🏨  RAYMITON HOTEL  —  Category Analysis</t>
  </si>
  <si>
    <t>Based on AMOUNT PAID (actual cash) — updates automatically from Daily Ledger</t>
  </si>
  <si>
    <t>Total Income (₦)</t>
  </si>
  <si>
    <t>Total Expenses (₦)</t>
  </si>
  <si>
    <t>Net Profit (₦)</t>
  </si>
  <si>
    <t>% of Income</t>
  </si>
  <si>
    <t>% of Expenses</t>
  </si>
  <si>
    <t>Kitchen</t>
  </si>
  <si>
    <t>Maintenance</t>
  </si>
  <si>
    <t>Other</t>
  </si>
  <si>
    <t>GRAND TOTAL</t>
  </si>
  <si>
    <t>"100%"</t>
  </si>
  <si>
    <t>📋  Category &amp; Status Guide</t>
  </si>
  <si>
    <t>── CATEGORIES ──</t>
  </si>
  <si>
    <t>Lodge payments, room rentals (night/short stay), room-specific items</t>
  </si>
  <si>
    <t>Drinks sales, bottles of water/soft drinks/alcohol, bar snacks, snooker</t>
  </si>
  <si>
    <t>Food ingredients, cooking supplies, kitchen water, kitchen equipment</t>
  </si>
  <si>
    <t>Generator fuel, DSTV/SLTV, electricity, internet/WiFi, water bill</t>
  </si>
  <si>
    <t>Repairs (plumbing, electrical, AC), tools, painting, building fixes</t>
  </si>
  <si>
    <t>Staff wages, daily worker pay, security, housekeeping, stipends</t>
  </si>
  <si>
    <t>Soap, toiletries, cleaning products, tissue, detergent, consumables</t>
  </si>
  <si>
    <t>Bank charges, printing, transport, anything that doesn't fit above</t>
  </si>
  <si>
    <t>── STATUS (AUTO) ──</t>
  </si>
  <si>
    <t>Calculated automatically — do not type in Status column</t>
  </si>
  <si>
    <t>Amount Paid = Total Charged. Customer has settled in full.</t>
  </si>
  <si>
    <t>Amount Paid &gt; 0 but less than Total Charged. Balance still owed.</t>
  </si>
  <si>
    <t>Amount Paid = 0. Customer has paid nothing yet.</t>
  </si>
  <si>
    <t>Overpaid</t>
  </si>
  <si>
    <t>Amount Paid &gt; Total Charged. Customer paid more than charged.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</si>
</sst>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m\-yyyy"/>
    <numFmt numFmtId="165" formatCode="\₦#,##0.00;[RED]&quot;(₦&quot;#,##0.00\);\-"/>
    <numFmt numFmtId="166" formatCode="\₦#,##0.00;[RED]&quot;(₦&quot;#,##0.00\)"/>
    <numFmt numFmtId="167" formatCode="\₦#,##0.00"/>
    <numFmt numFmtId="168" formatCode="\₦#,##0.00;&quot;(₦&quot;#,##0.00\);\-"/>
    <numFmt numFmtId="169" formatCode="0.0%"/>
  </numFmts>
  <fonts count="53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9.0"/>
      <color rgb="FFC8A951"/>
      <name val="Arial"/>
    </font>
    <font>
      <b/>
      <sz val="9.0"/>
      <color theme="1"/>
      <name val="Arial"/>
    </font>
    <font>
      <b/>
      <sz val="9.0"/>
      <color rgb="FF0000CD"/>
      <name val="Arial"/>
    </font>
    <font>
      <b/>
      <sz val="9.0"/>
      <color rgb="FF1B5E20"/>
      <name val="Arial"/>
    </font>
    <font>
      <b/>
      <sz val="9.0"/>
      <color rgb="FF1565C0"/>
      <name val="Arial"/>
    </font>
    <font>
      <sz val="9.0"/>
      <color rgb="FF0000CD"/>
      <name val="Arial"/>
    </font>
    <font>
      <b/>
      <sz val="9.0"/>
      <color rgb="FF000000"/>
      <name val="Arial"/>
    </font>
    <font>
      <b/>
      <sz val="9.0"/>
      <color rgb="FFB71C1C"/>
      <name val="Arial"/>
    </font>
    <font>
      <b/>
      <sz val="9.0"/>
      <color rgb="FF00695C"/>
      <name val="Arial"/>
    </font>
    <font>
      <b/>
      <sz val="9.0"/>
      <color rgb="FF558B2F"/>
      <name val="Arial"/>
    </font>
    <font>
      <b/>
      <sz val="9.0"/>
      <color rgb="FF6A1B9A"/>
      <name val="Arial"/>
    </font>
    <font>
      <b/>
      <sz val="9.0"/>
      <color rgb="FF283593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1B5E20"/>
      <name val="Arial"/>
    </font>
    <font>
      <b/>
      <sz val="12.0"/>
      <color rgb="FF000000"/>
      <name val="Arial"/>
    </font>
    <font>
      <b/>
      <sz val="11.0"/>
      <color rgb="FFB71C1C"/>
      <name val="Arial"/>
    </font>
    <font>
      <b/>
      <sz val="11.0"/>
      <color rgb="FF1B3A6B"/>
      <name val="Arial"/>
    </font>
    <font>
      <b/>
      <sz val="11.0"/>
      <color rgb="FFE65100"/>
      <name val="Arial"/>
    </font>
    <font>
      <b/>
      <sz val="15.0"/>
      <color rgb="FFFFFFFF"/>
      <name val="Arial"/>
    </font>
    <font>
      <i/>
      <sz val="9.0"/>
      <color rgb="FFFFFFFF"/>
      <name val="Arial"/>
    </font>
    <font>
      <b/>
      <sz val="10.0"/>
      <color rgb="FFFFFFFF"/>
      <name val="Arial"/>
    </font>
    <font>
      <i/>
      <sz val="9.0"/>
      <color rgb="FFE65100"/>
      <name val="Arial"/>
    </font>
    <font>
      <sz val="9.0"/>
      <color rgb="FF000000"/>
      <name val="Arial"/>
    </font>
    <font>
      <b/>
      <sz val="9.0"/>
      <color rgb="FFE65100"/>
      <name val="Arial"/>
    </font>
    <font>
      <color theme="1"/>
      <name val="Calibri"/>
      <scheme val="minor"/>
    </font>
    <font>
      <b/>
      <sz val="12.0"/>
      <color rgb="FFB71C1C"/>
      <name val="Arial"/>
    </font>
    <font>
      <b/>
      <sz val="16.0"/>
      <color rgb="FFFFFFFF"/>
      <name val="Arial"/>
    </font>
    <font>
      <b/>
      <sz val="11.0"/>
      <color rgb="FF1565C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6A1B9A"/>
      <name val="Arial"/>
    </font>
    <font>
      <b/>
      <sz val="11.0"/>
      <color rgb="FF00695C"/>
      <name val="Arial"/>
    </font>
    <font>
      <b/>
      <sz val="11.0"/>
      <color rgb="FF4E342E"/>
      <name val="Arial"/>
    </font>
    <font>
      <b/>
      <sz val="11.0"/>
      <color rgb="FF283593"/>
      <name val="Arial"/>
    </font>
    <font>
      <b/>
      <sz val="11.0"/>
      <color rgb="FF558B2F"/>
      <name val="Arial"/>
    </font>
    <font>
      <b/>
      <sz val="11.0"/>
      <color rgb="FF37474F"/>
      <name val="Arial"/>
    </font>
    <font>
      <b/>
      <sz val="11.0"/>
      <color rgb="FF000000"/>
      <name val="Arial"/>
    </font>
    <font>
      <b/>
      <sz val="14.0"/>
      <color rgb="FFFFFFFF"/>
      <name val="Arial"/>
    </font>
    <font>
      <sz val="9.0"/>
      <color rgb="FFFFFFFF"/>
      <name val="Arial"/>
    </font>
    <font>
      <b/>
      <sz val="10.0"/>
      <color rgb="FF1565C0"/>
      <name val="Arial"/>
    </font>
    <font>
      <sz val="9.0"/>
      <color rgb="FF4A4A4A"/>
      <name val="Arial"/>
    </font>
    <font>
      <b/>
      <sz val="10.0"/>
      <color rgb="FF6A1B9A"/>
      <name val="Arial"/>
    </font>
    <font>
      <b/>
      <sz val="10.0"/>
      <color rgb="FFE65100"/>
      <name val="Arial"/>
    </font>
    <font>
      <b/>
      <sz val="10.0"/>
      <color rgb="FF00695C"/>
      <name val="Arial"/>
    </font>
    <font>
      <b/>
      <sz val="10.0"/>
      <color rgb="FF4E342E"/>
      <name val="Arial"/>
    </font>
    <font>
      <b/>
      <sz val="10.0"/>
      <color rgb="FF283593"/>
      <name val="Arial"/>
    </font>
    <font>
      <b/>
      <sz val="10.0"/>
      <color rgb="FF558B2F"/>
      <name val="Arial"/>
    </font>
    <font>
      <b/>
      <sz val="10.0"/>
      <color rgb="FF37474F"/>
      <name val="Arial"/>
    </font>
    <font>
      <b/>
      <sz val="10.0"/>
      <color rgb="FF4A4A4A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FFFFF"/>
        <bgColor rgb="FFFFFFFF"/>
      </patternFill>
    </fill>
    <fill>
      <patternFill patternType="solid">
        <fgColor rgb="FFD6F5E3"/>
        <bgColor rgb="FFD6F5E3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EEF2FF"/>
        <bgColor rgb="FFEEF2FF"/>
      </patternFill>
    </fill>
    <fill>
      <patternFill patternType="solid">
        <fgColor rgb="FFE8F0FE"/>
        <bgColor rgb="FFE8F0FE"/>
      </patternFill>
    </fill>
    <fill>
      <patternFill patternType="solid">
        <fgColor rgb="FFF0F4FA"/>
        <bgColor rgb="FFF0F4FA"/>
      </patternFill>
    </fill>
    <fill>
      <patternFill patternType="solid">
        <fgColor rgb="FFFAD7D7"/>
        <bgColor rgb="FFFAD7D7"/>
      </patternFill>
    </fill>
    <fill>
      <patternFill patternType="solid">
        <fgColor rgb="FFE0F2F1"/>
        <bgColor rgb="FFE0F2F1"/>
      </patternFill>
    </fill>
    <fill>
      <patternFill patternType="solid">
        <fgColor rgb="FFF1F8E9"/>
        <bgColor rgb="FFF1F8E9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B71C1C"/>
        <bgColor rgb="FFB71C1C"/>
      </patternFill>
    </fill>
    <fill>
      <patternFill patternType="solid">
        <fgColor rgb="FF4A4A4A"/>
        <bgColor rgb="FF4A4A4A"/>
      </patternFill>
    </fill>
    <fill>
      <patternFill patternType="solid">
        <fgColor rgb="FFFFF3E0"/>
        <bgColor rgb="FFFFF3E0"/>
      </patternFill>
    </fill>
    <fill>
      <patternFill patternType="solid">
        <fgColor rgb="FFEFEBE9"/>
        <bgColor rgb="FFEFEBE9"/>
      </patternFill>
    </fill>
    <fill>
      <patternFill patternType="solid">
        <fgColor rgb="FFECEFF1"/>
        <bgColor rgb="FFECEFF1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4" fillId="3" fontId="5" numFmtId="164" xfId="0" applyAlignment="1" applyBorder="1" applyFill="1" applyFont="1" applyNumberFormat="1">
      <alignment shrinkToFit="0" vertical="center" wrapText="0"/>
    </xf>
    <xf borderId="4" fillId="4" fontId="6" numFmtId="0" xfId="0" applyAlignment="1" applyBorder="1" applyFill="1" applyFont="1">
      <alignment shrinkToFit="0" vertical="center" wrapText="0"/>
    </xf>
    <xf borderId="4" fillId="5" fontId="7" numFmtId="0" xfId="0" applyAlignment="1" applyBorder="1" applyFill="1" applyFont="1">
      <alignment shrinkToFit="0" vertical="center" wrapText="0"/>
    </xf>
    <xf borderId="4" fillId="3" fontId="8" numFmtId="0" xfId="0" applyAlignment="1" applyBorder="1" applyFont="1">
      <alignment horizontal="left" shrinkToFit="0" vertical="center" wrapText="0"/>
    </xf>
    <xf borderId="4" fillId="3" fontId="8" numFmtId="4" xfId="0" applyAlignment="1" applyBorder="1" applyFont="1" applyNumberFormat="1">
      <alignment shrinkToFit="0" vertical="center" wrapText="0"/>
    </xf>
    <xf borderId="4" fillId="6" fontId="9" numFmtId="165" xfId="0" applyAlignment="1" applyBorder="1" applyFill="1" applyFont="1" applyNumberFormat="1">
      <alignment shrinkToFit="0" vertical="center" wrapText="0"/>
    </xf>
    <xf borderId="4" fillId="7" fontId="9" numFmtId="0" xfId="0" applyAlignment="1" applyBorder="1" applyFill="1" applyFont="1">
      <alignment horizontal="center" shrinkToFit="0" vertical="center" wrapText="0"/>
    </xf>
    <xf borderId="4" fillId="8" fontId="9" numFmtId="166" xfId="0" applyAlignment="1" applyBorder="1" applyFill="1" applyFont="1" applyNumberFormat="1">
      <alignment shrinkToFit="0" vertical="center" wrapText="0"/>
    </xf>
    <xf borderId="4" fillId="9" fontId="5" numFmtId="164" xfId="0" applyAlignment="1" applyBorder="1" applyFill="1" applyFont="1" applyNumberFormat="1">
      <alignment shrinkToFit="0" vertical="center" wrapText="0"/>
    </xf>
    <xf borderId="4" fillId="9" fontId="8" numFmtId="0" xfId="0" applyAlignment="1" applyBorder="1" applyFont="1">
      <alignment horizontal="left" shrinkToFit="0" vertical="center" wrapText="0"/>
    </xf>
    <xf borderId="4" fillId="9" fontId="8" numFmtId="4" xfId="0" applyAlignment="1" applyBorder="1" applyFont="1" applyNumberFormat="1">
      <alignment shrinkToFit="0" vertical="center" wrapText="0"/>
    </xf>
    <xf borderId="4" fillId="3" fontId="8" numFmtId="4" xfId="0" applyAlignment="1" applyBorder="1" applyFont="1" applyNumberFormat="1">
      <alignment readingOrder="0" shrinkToFit="0" vertical="center" wrapText="0"/>
    </xf>
    <xf borderId="4" fillId="10" fontId="10" numFmtId="0" xfId="0" applyAlignment="1" applyBorder="1" applyFill="1" applyFont="1">
      <alignment shrinkToFit="0" vertical="center" wrapText="0"/>
    </xf>
    <xf borderId="4" fillId="11" fontId="11" numFmtId="0" xfId="0" applyAlignment="1" applyBorder="1" applyFill="1" applyFont="1">
      <alignment shrinkToFit="0" vertical="center" wrapText="0"/>
    </xf>
    <xf borderId="4" fillId="12" fontId="12" numFmtId="0" xfId="0" applyAlignment="1" applyBorder="1" applyFill="1" applyFont="1">
      <alignment shrinkToFit="0" vertical="center" wrapText="0"/>
    </xf>
    <xf borderId="4" fillId="13" fontId="13" numFmtId="0" xfId="0" applyAlignment="1" applyBorder="1" applyFill="1" applyFont="1">
      <alignment shrinkToFit="0" vertical="center" wrapText="0"/>
    </xf>
    <xf borderId="4" fillId="14" fontId="14" numFmtId="0" xfId="0" applyAlignment="1" applyBorder="1" applyFill="1" applyFont="1">
      <alignment shrinkToFit="0" vertical="center" wrapText="0"/>
    </xf>
    <xf borderId="4" fillId="3" fontId="8" numFmtId="0" xfId="0" applyAlignment="1" applyBorder="1" applyFont="1">
      <alignment horizontal="left" readingOrder="0" shrinkToFit="0" vertical="center" wrapText="0"/>
    </xf>
    <xf borderId="4" fillId="9" fontId="8" numFmtId="4" xfId="0" applyAlignment="1" applyBorder="1" applyFont="1" applyNumberFormat="1">
      <alignment readingOrder="0" shrinkToFit="0" vertical="center" wrapText="0"/>
    </xf>
    <xf borderId="4" fillId="9" fontId="5" numFmtId="164" xfId="0" applyAlignment="1" applyBorder="1" applyFont="1" applyNumberFormat="1">
      <alignment shrinkToFit="0" vertical="center" wrapText="0"/>
    </xf>
    <xf borderId="4" fillId="5" fontId="7" numFmtId="0" xfId="0" applyAlignment="1" applyBorder="1" applyFont="1">
      <alignment readingOrder="0" shrinkToFit="0" vertical="center" wrapText="0"/>
    </xf>
    <xf borderId="4" fillId="9" fontId="8" numFmtId="0" xfId="0" applyAlignment="1" applyBorder="1" applyFont="1">
      <alignment horizontal="left" readingOrder="0" shrinkToFit="0" vertical="center" wrapText="0"/>
    </xf>
    <xf borderId="4" fillId="9" fontId="8" numFmtId="4" xfId="0" applyAlignment="1" applyBorder="1" applyFont="1" applyNumberFormat="1">
      <alignment readingOrder="0" shrinkToFit="0" vertical="center" wrapText="0"/>
    </xf>
    <xf borderId="4" fillId="6" fontId="9" numFmtId="165" xfId="0" applyAlignment="1" applyBorder="1" applyFont="1" applyNumberFormat="1">
      <alignment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8" fontId="9" numFmtId="166" xfId="0" applyAlignment="1" applyBorder="1" applyFont="1" applyNumberFormat="1">
      <alignment shrinkToFit="0" vertical="center" wrapText="0"/>
    </xf>
    <xf borderId="4" fillId="3" fontId="5" numFmtId="164" xfId="0" applyAlignment="1" applyBorder="1" applyFont="1" applyNumberForma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3" fontId="8" numFmtId="0" xfId="0" applyAlignment="1" applyBorder="1" applyFont="1">
      <alignment horizontal="left" shrinkToFit="0" vertical="center" wrapText="0"/>
    </xf>
    <xf borderId="4" fillId="3" fontId="8" numFmtId="4" xfId="0" applyAlignment="1" applyBorder="1" applyFont="1" applyNumberFormat="1">
      <alignment horizontal="right" shrinkToFit="0" vertical="center" wrapText="0"/>
    </xf>
    <xf borderId="4" fillId="6" fontId="9" numFmtId="165" xfId="0" applyAlignment="1" applyBorder="1" applyFont="1" applyNumberFormat="1">
      <alignment horizontal="right" shrinkToFit="0" vertical="center" wrapText="0"/>
    </xf>
    <xf borderId="4" fillId="8" fontId="9" numFmtId="166" xfId="0" applyAlignment="1" applyBorder="1" applyFont="1" applyNumberFormat="1">
      <alignment horizontal="right" shrinkToFit="0" vertical="center" wrapText="0"/>
    </xf>
    <xf borderId="4" fillId="9" fontId="5" numFmtId="164" xfId="0" applyAlignment="1" applyBorder="1" applyFont="1" applyNumberFormat="1">
      <alignment horizontal="center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4" fillId="9" fontId="8" numFmtId="0" xfId="0" applyAlignment="1" applyBorder="1" applyFont="1">
      <alignment horizontal="left" shrinkToFit="0" vertical="center" wrapText="0"/>
    </xf>
    <xf borderId="4" fillId="9" fontId="8" numFmtId="4" xfId="0" applyAlignment="1" applyBorder="1" applyFont="1" applyNumberFormat="1">
      <alignment horizontal="right" shrinkToFit="0" vertical="center" wrapText="0"/>
    </xf>
    <xf borderId="5" fillId="2" fontId="15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6" numFmtId="0" xfId="0" applyAlignment="1" applyBorder="1" applyFont="1">
      <alignment shrinkToFit="0" vertical="bottom" wrapText="0"/>
    </xf>
    <xf borderId="5" fillId="4" fontId="17" numFmtId="0" xfId="0" applyAlignment="1" applyBorder="1" applyFont="1">
      <alignment horizontal="right" shrinkToFit="0" vertical="center" wrapText="0"/>
    </xf>
    <xf borderId="5" fillId="4" fontId="18" numFmtId="166" xfId="0" applyAlignment="1" applyBorder="1" applyFont="1" applyNumberFormat="1">
      <alignment horizontal="right" shrinkToFit="0" vertical="center" wrapText="0"/>
    </xf>
    <xf borderId="5" fillId="10" fontId="19" numFmtId="0" xfId="0" applyAlignment="1" applyBorder="1" applyFont="1">
      <alignment horizontal="right" shrinkToFit="0" vertical="center" wrapText="0"/>
    </xf>
    <xf borderId="5" fillId="10" fontId="18" numFmtId="166" xfId="0" applyAlignment="1" applyBorder="1" applyFont="1" applyNumberFormat="1">
      <alignment horizontal="right" shrinkToFit="0" vertical="center" wrapText="0"/>
    </xf>
    <xf borderId="5" fillId="8" fontId="20" numFmtId="0" xfId="0" applyAlignment="1" applyBorder="1" applyFont="1">
      <alignment horizontal="right" shrinkToFit="0" vertical="center" wrapText="0"/>
    </xf>
    <xf borderId="5" fillId="8" fontId="18" numFmtId="166" xfId="0" applyAlignment="1" applyBorder="1" applyFont="1" applyNumberFormat="1">
      <alignment horizontal="right" shrinkToFit="0" vertical="center" wrapText="0"/>
    </xf>
    <xf borderId="5" fillId="6" fontId="21" numFmtId="0" xfId="0" applyAlignment="1" applyBorder="1" applyFont="1">
      <alignment horizontal="right" shrinkToFit="0" vertical="center" wrapText="0"/>
    </xf>
    <xf borderId="5" fillId="6" fontId="18" numFmtId="166" xfId="0" applyAlignment="1" applyBorder="1" applyFont="1" applyNumberFormat="1">
      <alignment horizontal="right" shrinkToFit="0" vertical="center" wrapText="0"/>
    </xf>
    <xf borderId="1" fillId="15" fontId="22" numFmtId="0" xfId="0" applyAlignment="1" applyBorder="1" applyFill="1" applyFont="1">
      <alignment horizontal="center" shrinkToFit="0" vertical="center" wrapText="0"/>
    </xf>
    <xf borderId="1" fillId="15" fontId="23" numFmtId="0" xfId="0" applyAlignment="1" applyBorder="1" applyFont="1">
      <alignment horizontal="center" shrinkToFit="0" vertical="center" wrapText="0"/>
    </xf>
    <xf borderId="4" fillId="16" fontId="24" numFmtId="0" xfId="0" applyAlignment="1" applyBorder="1" applyFill="1" applyFont="1">
      <alignment horizontal="center" shrinkToFit="0" vertical="center" wrapText="1"/>
    </xf>
    <xf borderId="1" fillId="6" fontId="25" numFmtId="0" xfId="0" applyAlignment="1" applyBorder="1" applyFont="1">
      <alignment horizontal="left" shrinkToFit="0" vertical="center" wrapText="1"/>
    </xf>
    <xf borderId="4" fillId="3" fontId="26" numFmtId="0" xfId="0" applyAlignment="1" applyBorder="1" applyFont="1">
      <alignment horizontal="left" shrinkToFit="0" vertical="center" wrapText="0"/>
    </xf>
    <xf borderId="4" fillId="3" fontId="26" numFmtId="167" xfId="0" applyAlignment="1" applyBorder="1" applyFont="1" applyNumberFormat="1">
      <alignment horizontal="right" shrinkToFit="0" vertical="center" wrapText="0"/>
    </xf>
    <xf borderId="4" fillId="6" fontId="10" numFmtId="166" xfId="0" applyAlignment="1" applyBorder="1" applyFont="1" applyNumberFormat="1">
      <alignment horizontal="right" shrinkToFit="0" vertical="center" wrapText="0"/>
    </xf>
    <xf borderId="4" fillId="3" fontId="27" numFmtId="0" xfId="0" applyAlignment="1" applyBorder="1" applyFont="1">
      <alignment horizontal="center" shrinkToFit="0" vertical="center" wrapText="0"/>
    </xf>
    <xf borderId="4" fillId="9" fontId="26" numFmtId="0" xfId="0" applyAlignment="1" applyBorder="1" applyFont="1">
      <alignment horizontal="left" shrinkToFit="0" vertical="center" wrapText="0"/>
    </xf>
    <xf borderId="4" fillId="9" fontId="26" numFmtId="167" xfId="0" applyAlignment="1" applyBorder="1" applyFont="1" applyNumberFormat="1">
      <alignment horizontal="right" shrinkToFit="0" vertical="center" wrapText="0"/>
    </xf>
    <xf borderId="4" fillId="9" fontId="27" numFmtId="0" xfId="0" applyAlignment="1" applyBorder="1" applyFont="1">
      <alignment horizontal="center" shrinkToFit="0" vertical="center" wrapText="0"/>
    </xf>
    <xf borderId="0" fillId="0" fontId="28" numFmtId="0" xfId="0" applyFont="1"/>
    <xf borderId="5" fillId="15" fontId="15" numFmtId="0" xfId="0" applyAlignment="1" applyBorder="1" applyFont="1">
      <alignment horizontal="right" shrinkToFit="0" vertical="center" wrapText="0"/>
    </xf>
    <xf borderId="5" fillId="6" fontId="29" numFmtId="167" xfId="0" applyAlignment="1" applyBorder="1" applyFont="1" applyNumberFormat="1">
      <alignment horizontal="right" shrinkToFit="0" vertical="center" wrapText="0"/>
    </xf>
    <xf borderId="1" fillId="2" fontId="30" numFmtId="0" xfId="0" applyAlignment="1" applyBorder="1" applyFont="1">
      <alignment horizontal="center" shrinkToFit="0" vertical="center" wrapText="0"/>
    </xf>
    <xf borderId="4" fillId="2" fontId="24" numFmtId="0" xfId="0" applyAlignment="1" applyBorder="1" applyFont="1">
      <alignment horizontal="center" shrinkToFit="0" vertical="center" wrapText="1"/>
    </xf>
    <xf borderId="4" fillId="5" fontId="31" numFmtId="0" xfId="0" applyAlignment="1" applyBorder="1" applyFont="1">
      <alignment horizontal="center" shrinkToFit="0" vertical="center" wrapText="0"/>
    </xf>
    <xf borderId="4" fillId="4" fontId="32" numFmtId="168" xfId="0" applyAlignment="1" applyBorder="1" applyFont="1" applyNumberFormat="1">
      <alignment horizontal="right" shrinkToFit="0" vertical="center" wrapText="0"/>
    </xf>
    <xf borderId="4" fillId="10" fontId="32" numFmtId="168" xfId="0" applyAlignment="1" applyBorder="1" applyFont="1" applyNumberFormat="1">
      <alignment horizontal="right" shrinkToFit="0" vertical="center" wrapText="0"/>
    </xf>
    <xf borderId="4" fillId="8" fontId="32" numFmtId="165" xfId="0" applyAlignment="1" applyBorder="1" applyFont="1" applyNumberFormat="1">
      <alignment horizontal="right" shrinkToFit="0" vertical="center" wrapText="0"/>
    </xf>
    <xf borderId="4" fillId="9" fontId="33" numFmtId="169" xfId="0" applyAlignment="1" applyBorder="1" applyFont="1" applyNumberFormat="1">
      <alignment horizontal="center" shrinkToFit="0" vertical="center" wrapText="0"/>
    </xf>
    <xf borderId="4" fillId="13" fontId="34" numFmtId="0" xfId="0" applyAlignment="1" applyBorder="1" applyFont="1">
      <alignment horizontal="center" shrinkToFit="0" vertical="center" wrapText="0"/>
    </xf>
    <xf borderId="4" fillId="17" fontId="21" numFmtId="0" xfId="0" applyAlignment="1" applyBorder="1" applyFill="1" applyFont="1">
      <alignment horizontal="center" shrinkToFit="0" vertical="center" wrapText="0"/>
    </xf>
    <xf borderId="4" fillId="11" fontId="35" numFmtId="0" xfId="0" applyAlignment="1" applyBorder="1" applyFont="1">
      <alignment horizontal="center" shrinkToFit="0" vertical="center" wrapText="0"/>
    </xf>
    <xf borderId="4" fillId="18" fontId="36" numFmtId="0" xfId="0" applyAlignment="1" applyBorder="1" applyFill="1" applyFont="1">
      <alignment horizontal="center" shrinkToFit="0" vertical="center" wrapText="0"/>
    </xf>
    <xf borderId="4" fillId="14" fontId="37" numFmtId="0" xfId="0" applyAlignment="1" applyBorder="1" applyFont="1">
      <alignment horizontal="center" shrinkToFit="0" vertical="center" wrapText="0"/>
    </xf>
    <xf borderId="4" fillId="12" fontId="38" numFmtId="0" xfId="0" applyAlignment="1" applyBorder="1" applyFont="1">
      <alignment horizontal="center" shrinkToFit="0" vertical="center" wrapText="0"/>
    </xf>
    <xf borderId="4" fillId="19" fontId="39" numFmtId="0" xfId="0" applyAlignment="1" applyBorder="1" applyFill="1" applyFont="1">
      <alignment horizontal="center" shrinkToFit="0" vertical="center" wrapText="0"/>
    </xf>
    <xf borderId="8" fillId="16" fontId="15" numFmtId="0" xfId="0" applyAlignment="1" applyBorder="1" applyFont="1">
      <alignment horizontal="center" shrinkToFit="0" vertical="center" wrapText="0"/>
    </xf>
    <xf borderId="8" fillId="4" fontId="40" numFmtId="167" xfId="0" applyAlignment="1" applyBorder="1" applyFont="1" applyNumberFormat="1">
      <alignment horizontal="right" shrinkToFit="0" vertical="center" wrapText="0"/>
    </xf>
    <xf borderId="8" fillId="10" fontId="40" numFmtId="167" xfId="0" applyAlignment="1" applyBorder="1" applyFont="1" applyNumberFormat="1">
      <alignment horizontal="right" shrinkToFit="0" vertical="center" wrapText="0"/>
    </xf>
    <xf borderId="8" fillId="8" fontId="40" numFmtId="166" xfId="0" applyAlignment="1" applyBorder="1" applyFont="1" applyNumberFormat="1">
      <alignment horizontal="right" shrinkToFit="0" vertical="center" wrapText="0"/>
    </xf>
    <xf borderId="8" fillId="9" fontId="40" numFmtId="169" xfId="0" applyAlignment="1" applyBorder="1" applyFont="1" applyNumberFormat="1">
      <alignment horizontal="center" shrinkToFit="0" vertical="center" wrapText="0"/>
    </xf>
    <xf borderId="1" fillId="2" fontId="41" numFmtId="0" xfId="0" applyAlignment="1" applyBorder="1" applyFont="1">
      <alignment horizontal="center" shrinkToFit="0" vertical="center" wrapText="0"/>
    </xf>
    <xf borderId="4" fillId="16" fontId="24" numFmtId="0" xfId="0" applyAlignment="1" applyBorder="1" applyFont="1">
      <alignment horizontal="center" shrinkToFit="0" vertical="center" wrapText="0"/>
    </xf>
    <xf borderId="4" fillId="16" fontId="42" numFmtId="0" xfId="0" applyAlignment="1" applyBorder="1" applyFont="1">
      <alignment horizontal="left" shrinkToFit="0" vertical="center" wrapText="1"/>
    </xf>
    <xf borderId="4" fillId="5" fontId="43" numFmtId="0" xfId="0" applyAlignment="1" applyBorder="1" applyFont="1">
      <alignment horizontal="center" shrinkToFit="0" vertical="center" wrapText="0"/>
    </xf>
    <xf borderId="4" fillId="9" fontId="44" numFmtId="0" xfId="0" applyAlignment="1" applyBorder="1" applyFont="1">
      <alignment horizontal="left" shrinkToFit="0" vertical="center" wrapText="1"/>
    </xf>
    <xf borderId="4" fillId="13" fontId="45" numFmtId="0" xfId="0" applyAlignment="1" applyBorder="1" applyFont="1">
      <alignment horizontal="center" shrinkToFit="0" vertical="center" wrapText="0"/>
    </xf>
    <xf borderId="4" fillId="3" fontId="44" numFmtId="0" xfId="0" applyAlignment="1" applyBorder="1" applyFont="1">
      <alignment horizontal="left" shrinkToFit="0" vertical="center" wrapText="1"/>
    </xf>
    <xf borderId="4" fillId="17" fontId="46" numFmtId="0" xfId="0" applyAlignment="1" applyBorder="1" applyFont="1">
      <alignment horizontal="center" shrinkToFit="0" vertical="center" wrapText="0"/>
    </xf>
    <xf borderId="4" fillId="11" fontId="47" numFmtId="0" xfId="0" applyAlignment="1" applyBorder="1" applyFont="1">
      <alignment horizontal="center" shrinkToFit="0" vertical="center" wrapText="0"/>
    </xf>
    <xf borderId="4" fillId="18" fontId="48" numFmtId="0" xfId="0" applyAlignment="1" applyBorder="1" applyFont="1">
      <alignment horizontal="center" shrinkToFit="0" vertical="center" wrapText="0"/>
    </xf>
    <xf borderId="4" fillId="14" fontId="49" numFmtId="0" xfId="0" applyAlignment="1" applyBorder="1" applyFont="1">
      <alignment horizontal="center" shrinkToFit="0" vertical="center" wrapText="0"/>
    </xf>
    <xf borderId="4" fillId="12" fontId="50" numFmtId="0" xfId="0" applyAlignment="1" applyBorder="1" applyFont="1">
      <alignment horizontal="center" shrinkToFit="0" vertical="center" wrapText="0"/>
    </xf>
    <xf borderId="4" fillId="19" fontId="51" numFmtId="0" xfId="0" applyAlignment="1" applyBorder="1" applyFont="1">
      <alignment horizontal="center" shrinkToFit="0" vertical="center" wrapText="0"/>
    </xf>
    <xf borderId="4" fillId="3" fontId="16" numFmtId="0" xfId="0" applyAlignment="1" applyBorder="1" applyFont="1">
      <alignment horizontal="center" shrinkToFit="0" vertical="center" wrapText="0"/>
    </xf>
    <xf borderId="4" fillId="3" fontId="5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ily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aily Ledger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31" displayName="Table1" name="Table1" id="1">
  <tableColumns count="9">
    <tableColumn name="Date" id="1"/>
    <tableColumn name="Type" id="2"/>
    <tableColumn name="Category" id="3"/>
    <tableColumn name="Description" id="4"/>
    <tableColumn name="Total Charged (₦)" id="5"/>
    <tableColumn name="Amount Paid (₦)" id="6"/>
    <tableColumn name="Balance Owed (₦) ⚙️" id="7"/>
    <tableColumn name="Status ⚙️" id="8"/>
    <tableColumn name="Running Balance (₦) ⚙️" id="9"/>
  </tableColumns>
  <tableStyleInfo name="Daily Ledger-style" showColumnStripes="0" showFirstColumn="1" showLastColumn="1" showRowStripes="1"/>
</table>
</file>

<file path=xl/tables/table2.xml><?xml version="1.0" encoding="utf-8"?>
<table xmlns="http://schemas.openxmlformats.org/spreadsheetml/2006/main" headerRowCount="0" ref="A32:I32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ily Ledg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71"/>
    <col customWidth="1" min="3" max="3" width="17.43"/>
    <col customWidth="1" min="4" max="4" width="36.0"/>
    <col customWidth="1" min="5" max="5" width="21.43"/>
    <col customWidth="1" min="6" max="6" width="20.57"/>
    <col customWidth="1" min="7" max="7" width="21.71"/>
    <col customWidth="1" min="8" max="8" width="16.0"/>
    <col customWidth="1" min="9" max="9" width="24.0"/>
    <col customWidth="1" min="10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18.75" customHeight="1">
      <c r="A5" s="6">
        <v>46143.0</v>
      </c>
      <c r="B5" s="7" t="s">
        <v>11</v>
      </c>
      <c r="C5" s="8" t="s">
        <v>12</v>
      </c>
      <c r="D5" s="9" t="s">
        <v>13</v>
      </c>
      <c r="E5" s="10">
        <v>15000.0</v>
      </c>
      <c r="F5" s="10">
        <v>15000.0</v>
      </c>
      <c r="G5" s="11">
        <f t="shared" ref="G5:G304" si="1">IF(ISBLANK(E5),"",E5-F5)</f>
        <v>0</v>
      </c>
      <c r="H5" s="12" t="str">
        <f t="shared" ref="H5:H304" si="2">IF(ISBLANK(E5),"", IF(UPPER(B5)="EXPENSE","Paid", IF(F5=0,"Not Paid", IF(F5&lt;E5,"Part Payment", IF(F5=E5,"Paid","Overpaid")))))</f>
        <v>Paid</v>
      </c>
      <c r="I5" s="13">
        <f t="shared" ref="I5:I304" si="3">IF(ISBLANK(F5),"",SUMIF(B$5:B5,"INCOME",F$5:F5)-SUMIF(B$5:B5,"EXPENSE",F$5:F5))</f>
        <v>15000</v>
      </c>
    </row>
    <row r="6" ht="18.75" customHeight="1">
      <c r="A6" s="14">
        <v>46143.0</v>
      </c>
      <c r="B6" s="7" t="s">
        <v>11</v>
      </c>
      <c r="C6" s="8" t="s">
        <v>12</v>
      </c>
      <c r="D6" s="15" t="s">
        <v>14</v>
      </c>
      <c r="E6" s="16">
        <v>5000.0</v>
      </c>
      <c r="F6" s="16">
        <v>5000.0</v>
      </c>
      <c r="G6" s="11">
        <f t="shared" si="1"/>
        <v>0</v>
      </c>
      <c r="H6" s="12" t="str">
        <f t="shared" si="2"/>
        <v>Paid</v>
      </c>
      <c r="I6" s="13">
        <f t="shared" si="3"/>
        <v>20000</v>
      </c>
    </row>
    <row r="7" ht="18.75" customHeight="1">
      <c r="A7" s="6">
        <v>46143.0</v>
      </c>
      <c r="B7" s="7" t="s">
        <v>11</v>
      </c>
      <c r="C7" s="8" t="s">
        <v>12</v>
      </c>
      <c r="D7" s="9" t="s">
        <v>15</v>
      </c>
      <c r="E7" s="10">
        <v>10000.0</v>
      </c>
      <c r="F7" s="17">
        <v>10000.0</v>
      </c>
      <c r="G7" s="11">
        <f t="shared" si="1"/>
        <v>0</v>
      </c>
      <c r="H7" s="12" t="str">
        <f t="shared" si="2"/>
        <v>Paid</v>
      </c>
      <c r="I7" s="13">
        <f t="shared" si="3"/>
        <v>30000</v>
      </c>
    </row>
    <row r="8" ht="18.75" customHeight="1">
      <c r="A8" s="14">
        <v>46143.0</v>
      </c>
      <c r="B8" s="18" t="s">
        <v>16</v>
      </c>
      <c r="C8" s="19" t="s">
        <v>17</v>
      </c>
      <c r="D8" s="15" t="s">
        <v>18</v>
      </c>
      <c r="E8" s="16">
        <v>5000.0</v>
      </c>
      <c r="F8" s="16">
        <v>5000.0</v>
      </c>
      <c r="G8" s="11">
        <f t="shared" si="1"/>
        <v>0</v>
      </c>
      <c r="H8" s="12" t="str">
        <f t="shared" si="2"/>
        <v>Paid</v>
      </c>
      <c r="I8" s="13">
        <f t="shared" si="3"/>
        <v>25000</v>
      </c>
    </row>
    <row r="9" ht="18.75" customHeight="1">
      <c r="A9" s="6">
        <v>46143.0</v>
      </c>
      <c r="B9" s="18" t="s">
        <v>16</v>
      </c>
      <c r="C9" s="20" t="s">
        <v>19</v>
      </c>
      <c r="D9" s="9" t="s">
        <v>20</v>
      </c>
      <c r="E9" s="10">
        <v>500.0</v>
      </c>
      <c r="F9" s="10">
        <v>500.0</v>
      </c>
      <c r="G9" s="11">
        <f t="shared" si="1"/>
        <v>0</v>
      </c>
      <c r="H9" s="12" t="str">
        <f t="shared" si="2"/>
        <v>Paid</v>
      </c>
      <c r="I9" s="13">
        <f t="shared" si="3"/>
        <v>24500</v>
      </c>
    </row>
    <row r="10" ht="18.75" customHeight="1">
      <c r="A10" s="14">
        <v>46143.0</v>
      </c>
      <c r="B10" s="18" t="s">
        <v>16</v>
      </c>
      <c r="C10" s="19" t="s">
        <v>17</v>
      </c>
      <c r="D10" s="15" t="s">
        <v>21</v>
      </c>
      <c r="E10" s="16">
        <v>16000.0</v>
      </c>
      <c r="F10" s="16">
        <v>16000.0</v>
      </c>
      <c r="G10" s="11">
        <f t="shared" si="1"/>
        <v>0</v>
      </c>
      <c r="H10" s="12" t="str">
        <f t="shared" si="2"/>
        <v>Paid</v>
      </c>
      <c r="I10" s="13">
        <f t="shared" si="3"/>
        <v>8500</v>
      </c>
    </row>
    <row r="11" ht="18.75" customHeight="1">
      <c r="A11" s="6">
        <v>46143.0</v>
      </c>
      <c r="B11" s="18" t="s">
        <v>16</v>
      </c>
      <c r="C11" s="21" t="s">
        <v>22</v>
      </c>
      <c r="D11" s="9" t="s">
        <v>23</v>
      </c>
      <c r="E11" s="10">
        <v>2900.0</v>
      </c>
      <c r="F11" s="10">
        <v>2900.0</v>
      </c>
      <c r="G11" s="11">
        <f t="shared" si="1"/>
        <v>0</v>
      </c>
      <c r="H11" s="12" t="str">
        <f t="shared" si="2"/>
        <v>Paid</v>
      </c>
      <c r="I11" s="13">
        <f t="shared" si="3"/>
        <v>5600</v>
      </c>
    </row>
    <row r="12" ht="18.75" customHeight="1">
      <c r="A12" s="14">
        <v>46143.0</v>
      </c>
      <c r="B12" s="7" t="s">
        <v>11</v>
      </c>
      <c r="C12" s="21" t="s">
        <v>22</v>
      </c>
      <c r="D12" s="15" t="s">
        <v>24</v>
      </c>
      <c r="E12" s="16">
        <v>500.0</v>
      </c>
      <c r="F12" s="16">
        <v>500.0</v>
      </c>
      <c r="G12" s="11">
        <f t="shared" si="1"/>
        <v>0</v>
      </c>
      <c r="H12" s="12" t="str">
        <f t="shared" si="2"/>
        <v>Paid</v>
      </c>
      <c r="I12" s="13">
        <f t="shared" si="3"/>
        <v>6100</v>
      </c>
    </row>
    <row r="13" ht="18.75" customHeight="1">
      <c r="A13" s="6">
        <v>46144.0</v>
      </c>
      <c r="B13" s="18" t="s">
        <v>16</v>
      </c>
      <c r="C13" s="19" t="s">
        <v>17</v>
      </c>
      <c r="D13" s="9" t="s">
        <v>25</v>
      </c>
      <c r="E13" s="10">
        <v>15000.0</v>
      </c>
      <c r="F13" s="10">
        <v>15000.0</v>
      </c>
      <c r="G13" s="11">
        <f t="shared" si="1"/>
        <v>0</v>
      </c>
      <c r="H13" s="12" t="str">
        <f t="shared" si="2"/>
        <v>Paid</v>
      </c>
      <c r="I13" s="13">
        <f t="shared" si="3"/>
        <v>-8900</v>
      </c>
    </row>
    <row r="14" ht="18.75" customHeight="1">
      <c r="A14" s="14">
        <v>46144.0</v>
      </c>
      <c r="B14" s="18" t="s">
        <v>16</v>
      </c>
      <c r="C14" s="20" t="s">
        <v>19</v>
      </c>
      <c r="D14" s="15" t="s">
        <v>20</v>
      </c>
      <c r="E14" s="16">
        <v>750.0</v>
      </c>
      <c r="F14" s="16">
        <v>750.0</v>
      </c>
      <c r="G14" s="11">
        <f t="shared" si="1"/>
        <v>0</v>
      </c>
      <c r="H14" s="12" t="str">
        <f t="shared" si="2"/>
        <v>Paid</v>
      </c>
      <c r="I14" s="13">
        <f t="shared" si="3"/>
        <v>-9650</v>
      </c>
    </row>
    <row r="15" ht="18.75" customHeight="1">
      <c r="A15" s="6">
        <v>46144.0</v>
      </c>
      <c r="B15" s="7" t="s">
        <v>11</v>
      </c>
      <c r="C15" s="21" t="s">
        <v>22</v>
      </c>
      <c r="D15" s="9" t="s">
        <v>26</v>
      </c>
      <c r="E15" s="10">
        <v>400.0</v>
      </c>
      <c r="F15" s="10">
        <v>400.0</v>
      </c>
      <c r="G15" s="11">
        <f t="shared" si="1"/>
        <v>0</v>
      </c>
      <c r="H15" s="12" t="str">
        <f t="shared" si="2"/>
        <v>Paid</v>
      </c>
      <c r="I15" s="13">
        <f t="shared" si="3"/>
        <v>-9250</v>
      </c>
    </row>
    <row r="16" ht="18.75" customHeight="1">
      <c r="A16" s="14">
        <v>46144.0</v>
      </c>
      <c r="B16" s="18" t="s">
        <v>16</v>
      </c>
      <c r="C16" s="21" t="s">
        <v>22</v>
      </c>
      <c r="D16" s="15" t="s">
        <v>27</v>
      </c>
      <c r="E16" s="16">
        <v>6800.0</v>
      </c>
      <c r="F16" s="16">
        <v>6800.0</v>
      </c>
      <c r="G16" s="11">
        <f t="shared" si="1"/>
        <v>0</v>
      </c>
      <c r="H16" s="12" t="str">
        <f t="shared" si="2"/>
        <v>Paid</v>
      </c>
      <c r="I16" s="13">
        <f t="shared" si="3"/>
        <v>-16050</v>
      </c>
    </row>
    <row r="17" ht="18.75" customHeight="1">
      <c r="A17" s="6">
        <v>46144.0</v>
      </c>
      <c r="B17" s="7" t="s">
        <v>11</v>
      </c>
      <c r="C17" s="8" t="s">
        <v>12</v>
      </c>
      <c r="D17" s="9" t="s">
        <v>28</v>
      </c>
      <c r="E17" s="10">
        <v>15000.0</v>
      </c>
      <c r="F17" s="10">
        <v>15000.0</v>
      </c>
      <c r="G17" s="11">
        <f t="shared" si="1"/>
        <v>0</v>
      </c>
      <c r="H17" s="12" t="str">
        <f t="shared" si="2"/>
        <v>Paid</v>
      </c>
      <c r="I17" s="13">
        <f t="shared" si="3"/>
        <v>-1050</v>
      </c>
    </row>
    <row r="18" ht="18.75" customHeight="1">
      <c r="A18" s="14">
        <v>46144.0</v>
      </c>
      <c r="B18" s="18" t="s">
        <v>16</v>
      </c>
      <c r="C18" s="22" t="s">
        <v>29</v>
      </c>
      <c r="D18" s="15" t="s">
        <v>30</v>
      </c>
      <c r="E18" s="16">
        <v>3500.0</v>
      </c>
      <c r="F18" s="16">
        <v>3500.0</v>
      </c>
      <c r="G18" s="11">
        <f t="shared" si="1"/>
        <v>0</v>
      </c>
      <c r="H18" s="12" t="str">
        <f t="shared" si="2"/>
        <v>Paid</v>
      </c>
      <c r="I18" s="13">
        <f t="shared" si="3"/>
        <v>-4550</v>
      </c>
    </row>
    <row r="19" ht="18.75" customHeight="1">
      <c r="A19" s="6">
        <v>46144.0</v>
      </c>
      <c r="B19" s="7" t="s">
        <v>11</v>
      </c>
      <c r="C19" s="8" t="s">
        <v>12</v>
      </c>
      <c r="D19" s="9" t="s">
        <v>31</v>
      </c>
      <c r="E19" s="10">
        <v>5000.0</v>
      </c>
      <c r="F19" s="10">
        <v>5000.0</v>
      </c>
      <c r="G19" s="11">
        <f t="shared" si="1"/>
        <v>0</v>
      </c>
      <c r="H19" s="12" t="str">
        <f t="shared" si="2"/>
        <v>Paid</v>
      </c>
      <c r="I19" s="13">
        <f t="shared" si="3"/>
        <v>450</v>
      </c>
    </row>
    <row r="20" ht="18.75" customHeight="1">
      <c r="A20" s="14">
        <v>46144.0</v>
      </c>
      <c r="B20" s="7" t="s">
        <v>11</v>
      </c>
      <c r="C20" s="21" t="s">
        <v>22</v>
      </c>
      <c r="D20" s="15" t="s">
        <v>32</v>
      </c>
      <c r="E20" s="16">
        <v>1500.0</v>
      </c>
      <c r="F20" s="16">
        <v>1500.0</v>
      </c>
      <c r="G20" s="11">
        <f t="shared" si="1"/>
        <v>0</v>
      </c>
      <c r="H20" s="12" t="str">
        <f t="shared" si="2"/>
        <v>Paid</v>
      </c>
      <c r="I20" s="13">
        <f t="shared" si="3"/>
        <v>1950</v>
      </c>
    </row>
    <row r="21" ht="18.75" customHeight="1">
      <c r="A21" s="6">
        <v>46144.0</v>
      </c>
      <c r="B21" s="18" t="s">
        <v>16</v>
      </c>
      <c r="C21" s="19" t="s">
        <v>17</v>
      </c>
      <c r="D21" s="9" t="s">
        <v>33</v>
      </c>
      <c r="E21" s="10">
        <v>6800.0</v>
      </c>
      <c r="F21" s="10">
        <v>6800.0</v>
      </c>
      <c r="G21" s="11">
        <f t="shared" si="1"/>
        <v>0</v>
      </c>
      <c r="H21" s="12" t="str">
        <f t="shared" si="2"/>
        <v>Paid</v>
      </c>
      <c r="I21" s="13">
        <f t="shared" si="3"/>
        <v>-4850</v>
      </c>
    </row>
    <row r="22" ht="18.75" customHeight="1">
      <c r="A22" s="14">
        <v>46144.0</v>
      </c>
      <c r="B22" s="7" t="s">
        <v>11</v>
      </c>
      <c r="C22" s="8" t="s">
        <v>12</v>
      </c>
      <c r="D22" s="15" t="s">
        <v>34</v>
      </c>
      <c r="E22" s="16">
        <v>10000.0</v>
      </c>
      <c r="F22" s="16">
        <v>10000.0</v>
      </c>
      <c r="G22" s="11">
        <f t="shared" si="1"/>
        <v>0</v>
      </c>
      <c r="H22" s="12" t="str">
        <f t="shared" si="2"/>
        <v>Paid</v>
      </c>
      <c r="I22" s="13">
        <f t="shared" si="3"/>
        <v>5150</v>
      </c>
    </row>
    <row r="23" ht="18.75" customHeight="1">
      <c r="A23" s="6">
        <v>46144.0</v>
      </c>
      <c r="B23" s="7" t="s">
        <v>11</v>
      </c>
      <c r="C23" s="21" t="s">
        <v>22</v>
      </c>
      <c r="D23" s="23" t="s">
        <v>35</v>
      </c>
      <c r="E23" s="17">
        <v>4500.0</v>
      </c>
      <c r="F23" s="17">
        <v>0.0</v>
      </c>
      <c r="G23" s="11">
        <f t="shared" si="1"/>
        <v>4500</v>
      </c>
      <c r="H23" s="12" t="str">
        <f t="shared" si="2"/>
        <v>Not Paid</v>
      </c>
      <c r="I23" s="13">
        <f t="shared" si="3"/>
        <v>5150</v>
      </c>
    </row>
    <row r="24" ht="18.75" customHeight="1">
      <c r="A24" s="14">
        <v>46145.0</v>
      </c>
      <c r="B24" s="7" t="s">
        <v>11</v>
      </c>
      <c r="C24" s="8" t="s">
        <v>12</v>
      </c>
      <c r="D24" s="15" t="s">
        <v>36</v>
      </c>
      <c r="E24" s="16">
        <v>15000.0</v>
      </c>
      <c r="F24" s="16">
        <v>15000.0</v>
      </c>
      <c r="G24" s="11">
        <f t="shared" si="1"/>
        <v>0</v>
      </c>
      <c r="H24" s="12" t="str">
        <f t="shared" si="2"/>
        <v>Paid</v>
      </c>
      <c r="I24" s="13">
        <f t="shared" si="3"/>
        <v>20150</v>
      </c>
    </row>
    <row r="25" ht="18.75" customHeight="1">
      <c r="A25" s="6">
        <v>46145.0</v>
      </c>
      <c r="B25" s="7" t="s">
        <v>11</v>
      </c>
      <c r="C25" s="8" t="s">
        <v>12</v>
      </c>
      <c r="D25" s="9" t="s">
        <v>36</v>
      </c>
      <c r="E25" s="10">
        <v>15000.0</v>
      </c>
      <c r="F25" s="17">
        <v>5000.0</v>
      </c>
      <c r="G25" s="11">
        <f t="shared" si="1"/>
        <v>10000</v>
      </c>
      <c r="H25" s="12" t="str">
        <f t="shared" si="2"/>
        <v>Part Payment</v>
      </c>
      <c r="I25" s="13">
        <f t="shared" si="3"/>
        <v>25150</v>
      </c>
    </row>
    <row r="26" ht="18.75" customHeight="1">
      <c r="A26" s="14">
        <v>46145.0</v>
      </c>
      <c r="B26" s="7" t="s">
        <v>11</v>
      </c>
      <c r="C26" s="8" t="s">
        <v>12</v>
      </c>
      <c r="D26" s="15" t="s">
        <v>37</v>
      </c>
      <c r="E26" s="16">
        <v>15000.0</v>
      </c>
      <c r="F26" s="24">
        <v>0.0</v>
      </c>
      <c r="G26" s="11">
        <f t="shared" si="1"/>
        <v>15000</v>
      </c>
      <c r="H26" s="12" t="str">
        <f t="shared" si="2"/>
        <v>Not Paid</v>
      </c>
      <c r="I26" s="13">
        <f t="shared" si="3"/>
        <v>25150</v>
      </c>
    </row>
    <row r="27" ht="18.75" customHeight="1">
      <c r="A27" s="6">
        <v>46145.0</v>
      </c>
      <c r="B27" s="7" t="s">
        <v>11</v>
      </c>
      <c r="C27" s="8" t="s">
        <v>12</v>
      </c>
      <c r="D27" s="9" t="s">
        <v>38</v>
      </c>
      <c r="E27" s="10">
        <v>5000.0</v>
      </c>
      <c r="F27" s="10">
        <v>5000.0</v>
      </c>
      <c r="G27" s="11">
        <f t="shared" si="1"/>
        <v>0</v>
      </c>
      <c r="H27" s="12" t="str">
        <f t="shared" si="2"/>
        <v>Paid</v>
      </c>
      <c r="I27" s="13">
        <f t="shared" si="3"/>
        <v>30150</v>
      </c>
    </row>
    <row r="28" ht="18.75" customHeight="1">
      <c r="A28" s="14">
        <v>46145.0</v>
      </c>
      <c r="B28" s="7" t="s">
        <v>11</v>
      </c>
      <c r="C28" s="8" t="s">
        <v>12</v>
      </c>
      <c r="D28" s="15" t="s">
        <v>39</v>
      </c>
      <c r="E28" s="16">
        <v>8000.0</v>
      </c>
      <c r="F28" s="24">
        <v>0.0</v>
      </c>
      <c r="G28" s="11">
        <f t="shared" si="1"/>
        <v>8000</v>
      </c>
      <c r="H28" s="12" t="str">
        <f t="shared" si="2"/>
        <v>Not Paid</v>
      </c>
      <c r="I28" s="13">
        <f t="shared" si="3"/>
        <v>30150</v>
      </c>
    </row>
    <row r="29" ht="18.75" customHeight="1">
      <c r="A29" s="6">
        <v>46145.0</v>
      </c>
      <c r="B29" s="7" t="s">
        <v>11</v>
      </c>
      <c r="C29" s="8" t="s">
        <v>12</v>
      </c>
      <c r="D29" s="9" t="s">
        <v>40</v>
      </c>
      <c r="E29" s="10">
        <v>5000.0</v>
      </c>
      <c r="F29" s="17">
        <v>0.0</v>
      </c>
      <c r="G29" s="11">
        <f t="shared" si="1"/>
        <v>5000</v>
      </c>
      <c r="H29" s="12" t="str">
        <f t="shared" si="2"/>
        <v>Not Paid</v>
      </c>
      <c r="I29" s="13">
        <f t="shared" si="3"/>
        <v>30150</v>
      </c>
    </row>
    <row r="30" ht="18.75" customHeight="1">
      <c r="A30" s="14">
        <v>46145.0</v>
      </c>
      <c r="B30" s="7" t="s">
        <v>11</v>
      </c>
      <c r="C30" s="8" t="s">
        <v>12</v>
      </c>
      <c r="D30" s="15" t="s">
        <v>41</v>
      </c>
      <c r="E30" s="16">
        <v>10000.0</v>
      </c>
      <c r="F30" s="16">
        <v>10000.0</v>
      </c>
      <c r="G30" s="11">
        <f t="shared" si="1"/>
        <v>0</v>
      </c>
      <c r="H30" s="12" t="str">
        <f t="shared" si="2"/>
        <v>Paid</v>
      </c>
      <c r="I30" s="13">
        <f t="shared" si="3"/>
        <v>40150</v>
      </c>
    </row>
    <row r="31" ht="18.75" customHeight="1">
      <c r="A31" s="6">
        <v>46145.0</v>
      </c>
      <c r="B31" s="18" t="s">
        <v>16</v>
      </c>
      <c r="C31" s="19" t="s">
        <v>17</v>
      </c>
      <c r="D31" s="9" t="s">
        <v>21</v>
      </c>
      <c r="E31" s="17">
        <v>15500.0</v>
      </c>
      <c r="F31" s="17">
        <v>15500.0</v>
      </c>
      <c r="G31" s="11">
        <f t="shared" si="1"/>
        <v>0</v>
      </c>
      <c r="H31" s="12" t="str">
        <f t="shared" si="2"/>
        <v>Paid</v>
      </c>
      <c r="I31" s="13">
        <f t="shared" si="3"/>
        <v>24650</v>
      </c>
    </row>
    <row r="32" ht="18.75" customHeight="1">
      <c r="A32" s="25">
        <v>46145.0</v>
      </c>
      <c r="B32" s="7" t="s">
        <v>11</v>
      </c>
      <c r="C32" s="26" t="s">
        <v>22</v>
      </c>
      <c r="D32" s="27" t="s">
        <v>42</v>
      </c>
      <c r="E32" s="28">
        <v>5000.0</v>
      </c>
      <c r="F32" s="28">
        <v>5000.0</v>
      </c>
      <c r="G32" s="29">
        <f t="shared" si="1"/>
        <v>0</v>
      </c>
      <c r="H32" s="30" t="str">
        <f t="shared" si="2"/>
        <v>Paid</v>
      </c>
      <c r="I32" s="31">
        <f t="shared" si="3"/>
        <v>29650</v>
      </c>
    </row>
    <row r="33" ht="18.75" customHeight="1">
      <c r="A33" s="32"/>
      <c r="B33" s="33"/>
      <c r="C33" s="33"/>
      <c r="D33" s="34"/>
      <c r="E33" s="35"/>
      <c r="F33" s="35"/>
      <c r="G33" s="36" t="str">
        <f t="shared" si="1"/>
        <v/>
      </c>
      <c r="H33" s="30" t="str">
        <f t="shared" si="2"/>
        <v/>
      </c>
      <c r="I33" s="37" t="str">
        <f t="shared" si="3"/>
        <v/>
      </c>
    </row>
    <row r="34" ht="18.75" customHeight="1">
      <c r="A34" s="38"/>
      <c r="B34" s="39"/>
      <c r="C34" s="39"/>
      <c r="D34" s="40"/>
      <c r="E34" s="41"/>
      <c r="F34" s="41"/>
      <c r="G34" s="36" t="str">
        <f t="shared" si="1"/>
        <v/>
      </c>
      <c r="H34" s="30" t="str">
        <f t="shared" si="2"/>
        <v/>
      </c>
      <c r="I34" s="37" t="str">
        <f t="shared" si="3"/>
        <v/>
      </c>
    </row>
    <row r="35" ht="18.75" customHeight="1">
      <c r="A35" s="32"/>
      <c r="B35" s="33"/>
      <c r="C35" s="33"/>
      <c r="D35" s="34"/>
      <c r="E35" s="35"/>
      <c r="F35" s="35"/>
      <c r="G35" s="36" t="str">
        <f t="shared" si="1"/>
        <v/>
      </c>
      <c r="H35" s="30" t="str">
        <f t="shared" si="2"/>
        <v/>
      </c>
      <c r="I35" s="37" t="str">
        <f t="shared" si="3"/>
        <v/>
      </c>
    </row>
    <row r="36" ht="18.75" customHeight="1">
      <c r="A36" s="38"/>
      <c r="B36" s="39"/>
      <c r="C36" s="39"/>
      <c r="D36" s="40"/>
      <c r="E36" s="41"/>
      <c r="F36" s="41"/>
      <c r="G36" s="36" t="str">
        <f t="shared" si="1"/>
        <v/>
      </c>
      <c r="H36" s="30" t="str">
        <f t="shared" si="2"/>
        <v/>
      </c>
      <c r="I36" s="37" t="str">
        <f t="shared" si="3"/>
        <v/>
      </c>
    </row>
    <row r="37" ht="18.75" customHeight="1">
      <c r="A37" s="32"/>
      <c r="B37" s="33"/>
      <c r="C37" s="33"/>
      <c r="D37" s="34"/>
      <c r="E37" s="35"/>
      <c r="F37" s="35"/>
      <c r="G37" s="36" t="str">
        <f t="shared" si="1"/>
        <v/>
      </c>
      <c r="H37" s="30" t="str">
        <f t="shared" si="2"/>
        <v/>
      </c>
      <c r="I37" s="37" t="str">
        <f t="shared" si="3"/>
        <v/>
      </c>
    </row>
    <row r="38" ht="18.75" customHeight="1">
      <c r="A38" s="38"/>
      <c r="B38" s="39"/>
      <c r="C38" s="39"/>
      <c r="D38" s="40"/>
      <c r="E38" s="41"/>
      <c r="F38" s="41"/>
      <c r="G38" s="36" t="str">
        <f t="shared" si="1"/>
        <v/>
      </c>
      <c r="H38" s="30" t="str">
        <f t="shared" si="2"/>
        <v/>
      </c>
      <c r="I38" s="37" t="str">
        <f t="shared" si="3"/>
        <v/>
      </c>
    </row>
    <row r="39" ht="18.75" customHeight="1">
      <c r="A39" s="32"/>
      <c r="B39" s="33"/>
      <c r="C39" s="33"/>
      <c r="D39" s="34"/>
      <c r="E39" s="35"/>
      <c r="F39" s="35"/>
      <c r="G39" s="36" t="str">
        <f t="shared" si="1"/>
        <v/>
      </c>
      <c r="H39" s="30" t="str">
        <f t="shared" si="2"/>
        <v/>
      </c>
      <c r="I39" s="37" t="str">
        <f t="shared" si="3"/>
        <v/>
      </c>
    </row>
    <row r="40" ht="18.75" customHeight="1">
      <c r="A40" s="38"/>
      <c r="B40" s="39"/>
      <c r="C40" s="39"/>
      <c r="D40" s="40"/>
      <c r="E40" s="41"/>
      <c r="F40" s="41"/>
      <c r="G40" s="36" t="str">
        <f t="shared" si="1"/>
        <v/>
      </c>
      <c r="H40" s="30" t="str">
        <f t="shared" si="2"/>
        <v/>
      </c>
      <c r="I40" s="37" t="str">
        <f t="shared" si="3"/>
        <v/>
      </c>
    </row>
    <row r="41" ht="18.75" customHeight="1">
      <c r="A41" s="32"/>
      <c r="B41" s="33"/>
      <c r="C41" s="33"/>
      <c r="D41" s="34"/>
      <c r="E41" s="35"/>
      <c r="F41" s="35"/>
      <c r="G41" s="36" t="str">
        <f t="shared" si="1"/>
        <v/>
      </c>
      <c r="H41" s="30" t="str">
        <f t="shared" si="2"/>
        <v/>
      </c>
      <c r="I41" s="37" t="str">
        <f t="shared" si="3"/>
        <v/>
      </c>
    </row>
    <row r="42" ht="18.75" customHeight="1">
      <c r="A42" s="38"/>
      <c r="B42" s="39"/>
      <c r="C42" s="39"/>
      <c r="D42" s="40"/>
      <c r="E42" s="41"/>
      <c r="F42" s="41"/>
      <c r="G42" s="36" t="str">
        <f t="shared" si="1"/>
        <v/>
      </c>
      <c r="H42" s="30" t="str">
        <f t="shared" si="2"/>
        <v/>
      </c>
      <c r="I42" s="37" t="str">
        <f t="shared" si="3"/>
        <v/>
      </c>
    </row>
    <row r="43" ht="18.75" customHeight="1">
      <c r="A43" s="32"/>
      <c r="B43" s="33"/>
      <c r="C43" s="33"/>
      <c r="D43" s="34"/>
      <c r="E43" s="35"/>
      <c r="F43" s="35"/>
      <c r="G43" s="36" t="str">
        <f t="shared" si="1"/>
        <v/>
      </c>
      <c r="H43" s="30" t="str">
        <f t="shared" si="2"/>
        <v/>
      </c>
      <c r="I43" s="37" t="str">
        <f t="shared" si="3"/>
        <v/>
      </c>
    </row>
    <row r="44" ht="18.75" customHeight="1">
      <c r="A44" s="38"/>
      <c r="B44" s="39"/>
      <c r="C44" s="39"/>
      <c r="D44" s="40"/>
      <c r="E44" s="41"/>
      <c r="F44" s="41"/>
      <c r="G44" s="36" t="str">
        <f t="shared" si="1"/>
        <v/>
      </c>
      <c r="H44" s="30" t="str">
        <f t="shared" si="2"/>
        <v/>
      </c>
      <c r="I44" s="37" t="str">
        <f t="shared" si="3"/>
        <v/>
      </c>
    </row>
    <row r="45" ht="18.75" customHeight="1">
      <c r="A45" s="32"/>
      <c r="B45" s="33"/>
      <c r="C45" s="33"/>
      <c r="D45" s="34"/>
      <c r="E45" s="35"/>
      <c r="F45" s="35"/>
      <c r="G45" s="36" t="str">
        <f t="shared" si="1"/>
        <v/>
      </c>
      <c r="H45" s="30" t="str">
        <f t="shared" si="2"/>
        <v/>
      </c>
      <c r="I45" s="37" t="str">
        <f t="shared" si="3"/>
        <v/>
      </c>
    </row>
    <row r="46" ht="18.75" customHeight="1">
      <c r="A46" s="38"/>
      <c r="B46" s="39"/>
      <c r="C46" s="39"/>
      <c r="D46" s="40"/>
      <c r="E46" s="41"/>
      <c r="F46" s="41"/>
      <c r="G46" s="36" t="str">
        <f t="shared" si="1"/>
        <v/>
      </c>
      <c r="H46" s="30" t="str">
        <f t="shared" si="2"/>
        <v/>
      </c>
      <c r="I46" s="37" t="str">
        <f t="shared" si="3"/>
        <v/>
      </c>
    </row>
    <row r="47" ht="18.75" customHeight="1">
      <c r="A47" s="32"/>
      <c r="B47" s="33"/>
      <c r="C47" s="33"/>
      <c r="D47" s="34"/>
      <c r="E47" s="35"/>
      <c r="F47" s="35"/>
      <c r="G47" s="36" t="str">
        <f t="shared" si="1"/>
        <v/>
      </c>
      <c r="H47" s="30" t="str">
        <f t="shared" si="2"/>
        <v/>
      </c>
      <c r="I47" s="37" t="str">
        <f t="shared" si="3"/>
        <v/>
      </c>
    </row>
    <row r="48" ht="18.75" customHeight="1">
      <c r="A48" s="38"/>
      <c r="B48" s="39"/>
      <c r="C48" s="39"/>
      <c r="D48" s="40"/>
      <c r="E48" s="41"/>
      <c r="F48" s="41"/>
      <c r="G48" s="36" t="str">
        <f t="shared" si="1"/>
        <v/>
      </c>
      <c r="H48" s="30" t="str">
        <f t="shared" si="2"/>
        <v/>
      </c>
      <c r="I48" s="37" t="str">
        <f t="shared" si="3"/>
        <v/>
      </c>
    </row>
    <row r="49" ht="18.75" customHeight="1">
      <c r="A49" s="32"/>
      <c r="B49" s="33"/>
      <c r="C49" s="33"/>
      <c r="D49" s="34"/>
      <c r="E49" s="35"/>
      <c r="F49" s="35"/>
      <c r="G49" s="36" t="str">
        <f t="shared" si="1"/>
        <v/>
      </c>
      <c r="H49" s="30" t="str">
        <f t="shared" si="2"/>
        <v/>
      </c>
      <c r="I49" s="37" t="str">
        <f t="shared" si="3"/>
        <v/>
      </c>
    </row>
    <row r="50" ht="18.75" customHeight="1">
      <c r="A50" s="38"/>
      <c r="B50" s="39"/>
      <c r="C50" s="39"/>
      <c r="D50" s="40"/>
      <c r="E50" s="41"/>
      <c r="F50" s="41"/>
      <c r="G50" s="36" t="str">
        <f t="shared" si="1"/>
        <v/>
      </c>
      <c r="H50" s="30" t="str">
        <f t="shared" si="2"/>
        <v/>
      </c>
      <c r="I50" s="37" t="str">
        <f t="shared" si="3"/>
        <v/>
      </c>
    </row>
    <row r="51" ht="18.75" customHeight="1">
      <c r="A51" s="32"/>
      <c r="B51" s="33"/>
      <c r="C51" s="33"/>
      <c r="D51" s="34"/>
      <c r="E51" s="35"/>
      <c r="F51" s="35"/>
      <c r="G51" s="36" t="str">
        <f t="shared" si="1"/>
        <v/>
      </c>
      <c r="H51" s="30" t="str">
        <f t="shared" si="2"/>
        <v/>
      </c>
      <c r="I51" s="37" t="str">
        <f t="shared" si="3"/>
        <v/>
      </c>
    </row>
    <row r="52" ht="18.75" customHeight="1">
      <c r="A52" s="38"/>
      <c r="B52" s="39"/>
      <c r="C52" s="39"/>
      <c r="D52" s="40"/>
      <c r="E52" s="41"/>
      <c r="F52" s="41"/>
      <c r="G52" s="36" t="str">
        <f t="shared" si="1"/>
        <v/>
      </c>
      <c r="H52" s="30" t="str">
        <f t="shared" si="2"/>
        <v/>
      </c>
      <c r="I52" s="37" t="str">
        <f t="shared" si="3"/>
        <v/>
      </c>
    </row>
    <row r="53" ht="18.75" customHeight="1">
      <c r="A53" s="32"/>
      <c r="B53" s="33"/>
      <c r="C53" s="33"/>
      <c r="D53" s="34"/>
      <c r="E53" s="35"/>
      <c r="F53" s="35"/>
      <c r="G53" s="36" t="str">
        <f t="shared" si="1"/>
        <v/>
      </c>
      <c r="H53" s="30" t="str">
        <f t="shared" si="2"/>
        <v/>
      </c>
      <c r="I53" s="37" t="str">
        <f t="shared" si="3"/>
        <v/>
      </c>
    </row>
    <row r="54" ht="18.75" customHeight="1">
      <c r="A54" s="38"/>
      <c r="B54" s="39"/>
      <c r="C54" s="39"/>
      <c r="D54" s="40"/>
      <c r="E54" s="41"/>
      <c r="F54" s="41"/>
      <c r="G54" s="36" t="str">
        <f t="shared" si="1"/>
        <v/>
      </c>
      <c r="H54" s="30" t="str">
        <f t="shared" si="2"/>
        <v/>
      </c>
      <c r="I54" s="37" t="str">
        <f t="shared" si="3"/>
        <v/>
      </c>
    </row>
    <row r="55" ht="18.75" customHeight="1">
      <c r="A55" s="32"/>
      <c r="B55" s="33"/>
      <c r="C55" s="33"/>
      <c r="D55" s="34"/>
      <c r="E55" s="35"/>
      <c r="F55" s="35"/>
      <c r="G55" s="36" t="str">
        <f t="shared" si="1"/>
        <v/>
      </c>
      <c r="H55" s="30" t="str">
        <f t="shared" si="2"/>
        <v/>
      </c>
      <c r="I55" s="37" t="str">
        <f t="shared" si="3"/>
        <v/>
      </c>
    </row>
    <row r="56" ht="18.75" customHeight="1">
      <c r="A56" s="38"/>
      <c r="B56" s="39"/>
      <c r="C56" s="39"/>
      <c r="D56" s="40"/>
      <c r="E56" s="41"/>
      <c r="F56" s="41"/>
      <c r="G56" s="36" t="str">
        <f t="shared" si="1"/>
        <v/>
      </c>
      <c r="H56" s="30" t="str">
        <f t="shared" si="2"/>
        <v/>
      </c>
      <c r="I56" s="37" t="str">
        <f t="shared" si="3"/>
        <v/>
      </c>
    </row>
    <row r="57" ht="18.75" customHeight="1">
      <c r="A57" s="32"/>
      <c r="B57" s="33"/>
      <c r="C57" s="33"/>
      <c r="D57" s="34"/>
      <c r="E57" s="35"/>
      <c r="F57" s="35"/>
      <c r="G57" s="36" t="str">
        <f t="shared" si="1"/>
        <v/>
      </c>
      <c r="H57" s="30" t="str">
        <f t="shared" si="2"/>
        <v/>
      </c>
      <c r="I57" s="37" t="str">
        <f t="shared" si="3"/>
        <v/>
      </c>
    </row>
    <row r="58" ht="18.75" customHeight="1">
      <c r="A58" s="38"/>
      <c r="B58" s="39"/>
      <c r="C58" s="39"/>
      <c r="D58" s="40"/>
      <c r="E58" s="41"/>
      <c r="F58" s="41"/>
      <c r="G58" s="36" t="str">
        <f t="shared" si="1"/>
        <v/>
      </c>
      <c r="H58" s="30" t="str">
        <f t="shared" si="2"/>
        <v/>
      </c>
      <c r="I58" s="37" t="str">
        <f t="shared" si="3"/>
        <v/>
      </c>
    </row>
    <row r="59" ht="18.75" customHeight="1">
      <c r="A59" s="32"/>
      <c r="B59" s="33"/>
      <c r="C59" s="33"/>
      <c r="D59" s="34"/>
      <c r="E59" s="35"/>
      <c r="F59" s="35"/>
      <c r="G59" s="36" t="str">
        <f t="shared" si="1"/>
        <v/>
      </c>
      <c r="H59" s="30" t="str">
        <f t="shared" si="2"/>
        <v/>
      </c>
      <c r="I59" s="37" t="str">
        <f t="shared" si="3"/>
        <v/>
      </c>
    </row>
    <row r="60" ht="18.75" customHeight="1">
      <c r="A60" s="38"/>
      <c r="B60" s="39"/>
      <c r="C60" s="39"/>
      <c r="D60" s="40"/>
      <c r="E60" s="41"/>
      <c r="F60" s="41"/>
      <c r="G60" s="36" t="str">
        <f t="shared" si="1"/>
        <v/>
      </c>
      <c r="H60" s="30" t="str">
        <f t="shared" si="2"/>
        <v/>
      </c>
      <c r="I60" s="37" t="str">
        <f t="shared" si="3"/>
        <v/>
      </c>
    </row>
    <row r="61" ht="18.75" customHeight="1">
      <c r="A61" s="32"/>
      <c r="B61" s="33"/>
      <c r="C61" s="33"/>
      <c r="D61" s="34"/>
      <c r="E61" s="35"/>
      <c r="F61" s="35"/>
      <c r="G61" s="36" t="str">
        <f t="shared" si="1"/>
        <v/>
      </c>
      <c r="H61" s="30" t="str">
        <f t="shared" si="2"/>
        <v/>
      </c>
      <c r="I61" s="37" t="str">
        <f t="shared" si="3"/>
        <v/>
      </c>
    </row>
    <row r="62" ht="18.75" customHeight="1">
      <c r="A62" s="38"/>
      <c r="B62" s="39"/>
      <c r="C62" s="39"/>
      <c r="D62" s="40"/>
      <c r="E62" s="41"/>
      <c r="F62" s="41"/>
      <c r="G62" s="36" t="str">
        <f t="shared" si="1"/>
        <v/>
      </c>
      <c r="H62" s="30" t="str">
        <f t="shared" si="2"/>
        <v/>
      </c>
      <c r="I62" s="37" t="str">
        <f t="shared" si="3"/>
        <v/>
      </c>
    </row>
    <row r="63" ht="18.75" customHeight="1">
      <c r="A63" s="32"/>
      <c r="B63" s="33"/>
      <c r="C63" s="33"/>
      <c r="D63" s="34"/>
      <c r="E63" s="35"/>
      <c r="F63" s="35"/>
      <c r="G63" s="36" t="str">
        <f t="shared" si="1"/>
        <v/>
      </c>
      <c r="H63" s="30" t="str">
        <f t="shared" si="2"/>
        <v/>
      </c>
      <c r="I63" s="37" t="str">
        <f t="shared" si="3"/>
        <v/>
      </c>
    </row>
    <row r="64" ht="18.75" customHeight="1">
      <c r="A64" s="38"/>
      <c r="B64" s="39"/>
      <c r="C64" s="39"/>
      <c r="D64" s="40"/>
      <c r="E64" s="41"/>
      <c r="F64" s="41"/>
      <c r="G64" s="36" t="str">
        <f t="shared" si="1"/>
        <v/>
      </c>
      <c r="H64" s="30" t="str">
        <f t="shared" si="2"/>
        <v/>
      </c>
      <c r="I64" s="37" t="str">
        <f t="shared" si="3"/>
        <v/>
      </c>
    </row>
    <row r="65" ht="18.75" customHeight="1">
      <c r="A65" s="32"/>
      <c r="B65" s="33"/>
      <c r="C65" s="33"/>
      <c r="D65" s="34"/>
      <c r="E65" s="35"/>
      <c r="F65" s="35"/>
      <c r="G65" s="36" t="str">
        <f t="shared" si="1"/>
        <v/>
      </c>
      <c r="H65" s="30" t="str">
        <f t="shared" si="2"/>
        <v/>
      </c>
      <c r="I65" s="37" t="str">
        <f t="shared" si="3"/>
        <v/>
      </c>
    </row>
    <row r="66" ht="18.75" customHeight="1">
      <c r="A66" s="38"/>
      <c r="B66" s="39"/>
      <c r="C66" s="39"/>
      <c r="D66" s="40"/>
      <c r="E66" s="41"/>
      <c r="F66" s="41"/>
      <c r="G66" s="36" t="str">
        <f t="shared" si="1"/>
        <v/>
      </c>
      <c r="H66" s="30" t="str">
        <f t="shared" si="2"/>
        <v/>
      </c>
      <c r="I66" s="37" t="str">
        <f t="shared" si="3"/>
        <v/>
      </c>
    </row>
    <row r="67" ht="18.75" customHeight="1">
      <c r="A67" s="32"/>
      <c r="B67" s="33"/>
      <c r="C67" s="33"/>
      <c r="D67" s="34"/>
      <c r="E67" s="35"/>
      <c r="F67" s="35"/>
      <c r="G67" s="36" t="str">
        <f t="shared" si="1"/>
        <v/>
      </c>
      <c r="H67" s="30" t="str">
        <f t="shared" si="2"/>
        <v/>
      </c>
      <c r="I67" s="37" t="str">
        <f t="shared" si="3"/>
        <v/>
      </c>
    </row>
    <row r="68" ht="18.75" customHeight="1">
      <c r="A68" s="38"/>
      <c r="B68" s="39"/>
      <c r="C68" s="39"/>
      <c r="D68" s="40"/>
      <c r="E68" s="41"/>
      <c r="F68" s="41"/>
      <c r="G68" s="36" t="str">
        <f t="shared" si="1"/>
        <v/>
      </c>
      <c r="H68" s="30" t="str">
        <f t="shared" si="2"/>
        <v/>
      </c>
      <c r="I68" s="37" t="str">
        <f t="shared" si="3"/>
        <v/>
      </c>
    </row>
    <row r="69" ht="18.75" customHeight="1">
      <c r="A69" s="32"/>
      <c r="B69" s="33"/>
      <c r="C69" s="33"/>
      <c r="D69" s="34"/>
      <c r="E69" s="35"/>
      <c r="F69" s="35"/>
      <c r="G69" s="36" t="str">
        <f t="shared" si="1"/>
        <v/>
      </c>
      <c r="H69" s="30" t="str">
        <f t="shared" si="2"/>
        <v/>
      </c>
      <c r="I69" s="37" t="str">
        <f t="shared" si="3"/>
        <v/>
      </c>
    </row>
    <row r="70" ht="18.75" customHeight="1">
      <c r="A70" s="38"/>
      <c r="B70" s="39"/>
      <c r="C70" s="39"/>
      <c r="D70" s="40"/>
      <c r="E70" s="41"/>
      <c r="F70" s="41"/>
      <c r="G70" s="36" t="str">
        <f t="shared" si="1"/>
        <v/>
      </c>
      <c r="H70" s="30" t="str">
        <f t="shared" si="2"/>
        <v/>
      </c>
      <c r="I70" s="37" t="str">
        <f t="shared" si="3"/>
        <v/>
      </c>
    </row>
    <row r="71" ht="18.75" customHeight="1">
      <c r="A71" s="32"/>
      <c r="B71" s="33"/>
      <c r="C71" s="33"/>
      <c r="D71" s="34"/>
      <c r="E71" s="35"/>
      <c r="F71" s="35"/>
      <c r="G71" s="36" t="str">
        <f t="shared" si="1"/>
        <v/>
      </c>
      <c r="H71" s="30" t="str">
        <f t="shared" si="2"/>
        <v/>
      </c>
      <c r="I71" s="37" t="str">
        <f t="shared" si="3"/>
        <v/>
      </c>
    </row>
    <row r="72" ht="18.75" customHeight="1">
      <c r="A72" s="38"/>
      <c r="B72" s="39"/>
      <c r="C72" s="39"/>
      <c r="D72" s="40"/>
      <c r="E72" s="41"/>
      <c r="F72" s="41"/>
      <c r="G72" s="36" t="str">
        <f t="shared" si="1"/>
        <v/>
      </c>
      <c r="H72" s="30" t="str">
        <f t="shared" si="2"/>
        <v/>
      </c>
      <c r="I72" s="37" t="str">
        <f t="shared" si="3"/>
        <v/>
      </c>
    </row>
    <row r="73" ht="18.75" customHeight="1">
      <c r="A73" s="32"/>
      <c r="B73" s="33"/>
      <c r="C73" s="33"/>
      <c r="D73" s="34"/>
      <c r="E73" s="35"/>
      <c r="F73" s="35"/>
      <c r="G73" s="36" t="str">
        <f t="shared" si="1"/>
        <v/>
      </c>
      <c r="H73" s="30" t="str">
        <f t="shared" si="2"/>
        <v/>
      </c>
      <c r="I73" s="37" t="str">
        <f t="shared" si="3"/>
        <v/>
      </c>
    </row>
    <row r="74" ht="18.75" customHeight="1">
      <c r="A74" s="38"/>
      <c r="B74" s="39"/>
      <c r="C74" s="39"/>
      <c r="D74" s="40"/>
      <c r="E74" s="41"/>
      <c r="F74" s="41"/>
      <c r="G74" s="36" t="str">
        <f t="shared" si="1"/>
        <v/>
      </c>
      <c r="H74" s="30" t="str">
        <f t="shared" si="2"/>
        <v/>
      </c>
      <c r="I74" s="37" t="str">
        <f t="shared" si="3"/>
        <v/>
      </c>
    </row>
    <row r="75" ht="18.75" customHeight="1">
      <c r="A75" s="32"/>
      <c r="B75" s="33"/>
      <c r="C75" s="33"/>
      <c r="D75" s="34"/>
      <c r="E75" s="35"/>
      <c r="F75" s="35"/>
      <c r="G75" s="36" t="str">
        <f t="shared" si="1"/>
        <v/>
      </c>
      <c r="H75" s="30" t="str">
        <f t="shared" si="2"/>
        <v/>
      </c>
      <c r="I75" s="37" t="str">
        <f t="shared" si="3"/>
        <v/>
      </c>
    </row>
    <row r="76" ht="18.75" customHeight="1">
      <c r="A76" s="38"/>
      <c r="B76" s="39"/>
      <c r="C76" s="39"/>
      <c r="D76" s="40"/>
      <c r="E76" s="41"/>
      <c r="F76" s="41"/>
      <c r="G76" s="36" t="str">
        <f t="shared" si="1"/>
        <v/>
      </c>
      <c r="H76" s="30" t="str">
        <f t="shared" si="2"/>
        <v/>
      </c>
      <c r="I76" s="37" t="str">
        <f t="shared" si="3"/>
        <v/>
      </c>
    </row>
    <row r="77" ht="18.75" customHeight="1">
      <c r="A77" s="32"/>
      <c r="B77" s="33"/>
      <c r="C77" s="33"/>
      <c r="D77" s="34"/>
      <c r="E77" s="35"/>
      <c r="F77" s="35"/>
      <c r="G77" s="36" t="str">
        <f t="shared" si="1"/>
        <v/>
      </c>
      <c r="H77" s="30" t="str">
        <f t="shared" si="2"/>
        <v/>
      </c>
      <c r="I77" s="37" t="str">
        <f t="shared" si="3"/>
        <v/>
      </c>
    </row>
    <row r="78" ht="18.75" customHeight="1">
      <c r="A78" s="38"/>
      <c r="B78" s="39"/>
      <c r="C78" s="39"/>
      <c r="D78" s="40"/>
      <c r="E78" s="41"/>
      <c r="F78" s="41"/>
      <c r="G78" s="36" t="str">
        <f t="shared" si="1"/>
        <v/>
      </c>
      <c r="H78" s="30" t="str">
        <f t="shared" si="2"/>
        <v/>
      </c>
      <c r="I78" s="37" t="str">
        <f t="shared" si="3"/>
        <v/>
      </c>
    </row>
    <row r="79" ht="18.75" customHeight="1">
      <c r="A79" s="32"/>
      <c r="B79" s="33"/>
      <c r="C79" s="33"/>
      <c r="D79" s="34"/>
      <c r="E79" s="35"/>
      <c r="F79" s="35"/>
      <c r="G79" s="36" t="str">
        <f t="shared" si="1"/>
        <v/>
      </c>
      <c r="H79" s="30" t="str">
        <f t="shared" si="2"/>
        <v/>
      </c>
      <c r="I79" s="37" t="str">
        <f t="shared" si="3"/>
        <v/>
      </c>
    </row>
    <row r="80" ht="18.75" customHeight="1">
      <c r="A80" s="38"/>
      <c r="B80" s="39"/>
      <c r="C80" s="39"/>
      <c r="D80" s="40"/>
      <c r="E80" s="41"/>
      <c r="F80" s="41"/>
      <c r="G80" s="36" t="str">
        <f t="shared" si="1"/>
        <v/>
      </c>
      <c r="H80" s="30" t="str">
        <f t="shared" si="2"/>
        <v/>
      </c>
      <c r="I80" s="37" t="str">
        <f t="shared" si="3"/>
        <v/>
      </c>
    </row>
    <row r="81" ht="18.75" customHeight="1">
      <c r="A81" s="32"/>
      <c r="B81" s="33"/>
      <c r="C81" s="33"/>
      <c r="D81" s="34"/>
      <c r="E81" s="35"/>
      <c r="F81" s="35"/>
      <c r="G81" s="36" t="str">
        <f t="shared" si="1"/>
        <v/>
      </c>
      <c r="H81" s="30" t="str">
        <f t="shared" si="2"/>
        <v/>
      </c>
      <c r="I81" s="37" t="str">
        <f t="shared" si="3"/>
        <v/>
      </c>
    </row>
    <row r="82" ht="18.75" customHeight="1">
      <c r="A82" s="38"/>
      <c r="B82" s="39"/>
      <c r="C82" s="39"/>
      <c r="D82" s="40"/>
      <c r="E82" s="41"/>
      <c r="F82" s="41"/>
      <c r="G82" s="36" t="str">
        <f t="shared" si="1"/>
        <v/>
      </c>
      <c r="H82" s="30" t="str">
        <f t="shared" si="2"/>
        <v/>
      </c>
      <c r="I82" s="37" t="str">
        <f t="shared" si="3"/>
        <v/>
      </c>
    </row>
    <row r="83" ht="18.75" customHeight="1">
      <c r="A83" s="32"/>
      <c r="B83" s="33"/>
      <c r="C83" s="33"/>
      <c r="D83" s="34"/>
      <c r="E83" s="35"/>
      <c r="F83" s="35"/>
      <c r="G83" s="36" t="str">
        <f t="shared" si="1"/>
        <v/>
      </c>
      <c r="H83" s="30" t="str">
        <f t="shared" si="2"/>
        <v/>
      </c>
      <c r="I83" s="37" t="str">
        <f t="shared" si="3"/>
        <v/>
      </c>
    </row>
    <row r="84" ht="18.75" customHeight="1">
      <c r="A84" s="38"/>
      <c r="B84" s="39"/>
      <c r="C84" s="39"/>
      <c r="D84" s="40"/>
      <c r="E84" s="41"/>
      <c r="F84" s="41"/>
      <c r="G84" s="36" t="str">
        <f t="shared" si="1"/>
        <v/>
      </c>
      <c r="H84" s="30" t="str">
        <f t="shared" si="2"/>
        <v/>
      </c>
      <c r="I84" s="37" t="str">
        <f t="shared" si="3"/>
        <v/>
      </c>
    </row>
    <row r="85" ht="18.75" customHeight="1">
      <c r="A85" s="32"/>
      <c r="B85" s="33"/>
      <c r="C85" s="33"/>
      <c r="D85" s="34"/>
      <c r="E85" s="35"/>
      <c r="F85" s="35"/>
      <c r="G85" s="36" t="str">
        <f t="shared" si="1"/>
        <v/>
      </c>
      <c r="H85" s="30" t="str">
        <f t="shared" si="2"/>
        <v/>
      </c>
      <c r="I85" s="37" t="str">
        <f t="shared" si="3"/>
        <v/>
      </c>
    </row>
    <row r="86" ht="18.75" customHeight="1">
      <c r="A86" s="38"/>
      <c r="B86" s="39"/>
      <c r="C86" s="39"/>
      <c r="D86" s="40"/>
      <c r="E86" s="41"/>
      <c r="F86" s="41"/>
      <c r="G86" s="36" t="str">
        <f t="shared" si="1"/>
        <v/>
      </c>
      <c r="H86" s="30" t="str">
        <f t="shared" si="2"/>
        <v/>
      </c>
      <c r="I86" s="37" t="str">
        <f t="shared" si="3"/>
        <v/>
      </c>
    </row>
    <row r="87" ht="18.75" customHeight="1">
      <c r="A87" s="32"/>
      <c r="B87" s="33"/>
      <c r="C87" s="33"/>
      <c r="D87" s="34"/>
      <c r="E87" s="35"/>
      <c r="F87" s="35"/>
      <c r="G87" s="36" t="str">
        <f t="shared" si="1"/>
        <v/>
      </c>
      <c r="H87" s="30" t="str">
        <f t="shared" si="2"/>
        <v/>
      </c>
      <c r="I87" s="37" t="str">
        <f t="shared" si="3"/>
        <v/>
      </c>
    </row>
    <row r="88" ht="18.75" customHeight="1">
      <c r="A88" s="38"/>
      <c r="B88" s="39"/>
      <c r="C88" s="39"/>
      <c r="D88" s="40"/>
      <c r="E88" s="41"/>
      <c r="F88" s="41"/>
      <c r="G88" s="36" t="str">
        <f t="shared" si="1"/>
        <v/>
      </c>
      <c r="H88" s="30" t="str">
        <f t="shared" si="2"/>
        <v/>
      </c>
      <c r="I88" s="37" t="str">
        <f t="shared" si="3"/>
        <v/>
      </c>
    </row>
    <row r="89" ht="18.75" customHeight="1">
      <c r="A89" s="32"/>
      <c r="B89" s="33"/>
      <c r="C89" s="33"/>
      <c r="D89" s="34"/>
      <c r="E89" s="35"/>
      <c r="F89" s="35"/>
      <c r="G89" s="36" t="str">
        <f t="shared" si="1"/>
        <v/>
      </c>
      <c r="H89" s="30" t="str">
        <f t="shared" si="2"/>
        <v/>
      </c>
      <c r="I89" s="37" t="str">
        <f t="shared" si="3"/>
        <v/>
      </c>
    </row>
    <row r="90" ht="18.75" customHeight="1">
      <c r="A90" s="38"/>
      <c r="B90" s="39"/>
      <c r="C90" s="39"/>
      <c r="D90" s="40"/>
      <c r="E90" s="41"/>
      <c r="F90" s="41"/>
      <c r="G90" s="36" t="str">
        <f t="shared" si="1"/>
        <v/>
      </c>
      <c r="H90" s="30" t="str">
        <f t="shared" si="2"/>
        <v/>
      </c>
      <c r="I90" s="37" t="str">
        <f t="shared" si="3"/>
        <v/>
      </c>
    </row>
    <row r="91" ht="18.75" customHeight="1">
      <c r="A91" s="32"/>
      <c r="B91" s="33"/>
      <c r="C91" s="33"/>
      <c r="D91" s="34"/>
      <c r="E91" s="35"/>
      <c r="F91" s="35"/>
      <c r="G91" s="36" t="str">
        <f t="shared" si="1"/>
        <v/>
      </c>
      <c r="H91" s="30" t="str">
        <f t="shared" si="2"/>
        <v/>
      </c>
      <c r="I91" s="37" t="str">
        <f t="shared" si="3"/>
        <v/>
      </c>
    </row>
    <row r="92" ht="18.75" customHeight="1">
      <c r="A92" s="38"/>
      <c r="B92" s="39"/>
      <c r="C92" s="39"/>
      <c r="D92" s="40"/>
      <c r="E92" s="41"/>
      <c r="F92" s="41"/>
      <c r="G92" s="36" t="str">
        <f t="shared" si="1"/>
        <v/>
      </c>
      <c r="H92" s="30" t="str">
        <f t="shared" si="2"/>
        <v/>
      </c>
      <c r="I92" s="37" t="str">
        <f t="shared" si="3"/>
        <v/>
      </c>
    </row>
    <row r="93" ht="18.75" customHeight="1">
      <c r="A93" s="32"/>
      <c r="B93" s="33"/>
      <c r="C93" s="33"/>
      <c r="D93" s="34"/>
      <c r="E93" s="35"/>
      <c r="F93" s="35"/>
      <c r="G93" s="36" t="str">
        <f t="shared" si="1"/>
        <v/>
      </c>
      <c r="H93" s="30" t="str">
        <f t="shared" si="2"/>
        <v/>
      </c>
      <c r="I93" s="37" t="str">
        <f t="shared" si="3"/>
        <v/>
      </c>
    </row>
    <row r="94" ht="18.75" customHeight="1">
      <c r="A94" s="38"/>
      <c r="B94" s="39"/>
      <c r="C94" s="39"/>
      <c r="D94" s="40"/>
      <c r="E94" s="41"/>
      <c r="F94" s="41"/>
      <c r="G94" s="36" t="str">
        <f t="shared" si="1"/>
        <v/>
      </c>
      <c r="H94" s="30" t="str">
        <f t="shared" si="2"/>
        <v/>
      </c>
      <c r="I94" s="37" t="str">
        <f t="shared" si="3"/>
        <v/>
      </c>
    </row>
    <row r="95" ht="18.75" customHeight="1">
      <c r="A95" s="32"/>
      <c r="B95" s="33"/>
      <c r="C95" s="33"/>
      <c r="D95" s="34"/>
      <c r="E95" s="35"/>
      <c r="F95" s="35"/>
      <c r="G95" s="36" t="str">
        <f t="shared" si="1"/>
        <v/>
      </c>
      <c r="H95" s="30" t="str">
        <f t="shared" si="2"/>
        <v/>
      </c>
      <c r="I95" s="37" t="str">
        <f t="shared" si="3"/>
        <v/>
      </c>
    </row>
    <row r="96" ht="18.75" customHeight="1">
      <c r="A96" s="38"/>
      <c r="B96" s="39"/>
      <c r="C96" s="39"/>
      <c r="D96" s="40"/>
      <c r="E96" s="41"/>
      <c r="F96" s="41"/>
      <c r="G96" s="36" t="str">
        <f t="shared" si="1"/>
        <v/>
      </c>
      <c r="H96" s="30" t="str">
        <f t="shared" si="2"/>
        <v/>
      </c>
      <c r="I96" s="37" t="str">
        <f t="shared" si="3"/>
        <v/>
      </c>
    </row>
    <row r="97" ht="18.75" customHeight="1">
      <c r="A97" s="32"/>
      <c r="B97" s="33"/>
      <c r="C97" s="33"/>
      <c r="D97" s="34"/>
      <c r="E97" s="35"/>
      <c r="F97" s="35"/>
      <c r="G97" s="36" t="str">
        <f t="shared" si="1"/>
        <v/>
      </c>
      <c r="H97" s="30" t="str">
        <f t="shared" si="2"/>
        <v/>
      </c>
      <c r="I97" s="37" t="str">
        <f t="shared" si="3"/>
        <v/>
      </c>
    </row>
    <row r="98" ht="18.75" customHeight="1">
      <c r="A98" s="38"/>
      <c r="B98" s="39"/>
      <c r="C98" s="39"/>
      <c r="D98" s="40"/>
      <c r="E98" s="41"/>
      <c r="F98" s="41"/>
      <c r="G98" s="36" t="str">
        <f t="shared" si="1"/>
        <v/>
      </c>
      <c r="H98" s="30" t="str">
        <f t="shared" si="2"/>
        <v/>
      </c>
      <c r="I98" s="37" t="str">
        <f t="shared" si="3"/>
        <v/>
      </c>
    </row>
    <row r="99" ht="18.75" customHeight="1">
      <c r="A99" s="32"/>
      <c r="B99" s="33"/>
      <c r="C99" s="33"/>
      <c r="D99" s="34"/>
      <c r="E99" s="35"/>
      <c r="F99" s="35"/>
      <c r="G99" s="36" t="str">
        <f t="shared" si="1"/>
        <v/>
      </c>
      <c r="H99" s="30" t="str">
        <f t="shared" si="2"/>
        <v/>
      </c>
      <c r="I99" s="37" t="str">
        <f t="shared" si="3"/>
        <v/>
      </c>
    </row>
    <row r="100" ht="18.75" customHeight="1">
      <c r="A100" s="38"/>
      <c r="B100" s="39"/>
      <c r="C100" s="39"/>
      <c r="D100" s="40"/>
      <c r="E100" s="41"/>
      <c r="F100" s="41"/>
      <c r="G100" s="36" t="str">
        <f t="shared" si="1"/>
        <v/>
      </c>
      <c r="H100" s="30" t="str">
        <f t="shared" si="2"/>
        <v/>
      </c>
      <c r="I100" s="37" t="str">
        <f t="shared" si="3"/>
        <v/>
      </c>
    </row>
    <row r="101" ht="18.75" customHeight="1">
      <c r="A101" s="32"/>
      <c r="B101" s="33"/>
      <c r="C101" s="33"/>
      <c r="D101" s="34"/>
      <c r="E101" s="35"/>
      <c r="F101" s="35"/>
      <c r="G101" s="36" t="str">
        <f t="shared" si="1"/>
        <v/>
      </c>
      <c r="H101" s="30" t="str">
        <f t="shared" si="2"/>
        <v/>
      </c>
      <c r="I101" s="37" t="str">
        <f t="shared" si="3"/>
        <v/>
      </c>
    </row>
    <row r="102" ht="18.75" customHeight="1">
      <c r="A102" s="38"/>
      <c r="B102" s="39"/>
      <c r="C102" s="39"/>
      <c r="D102" s="40"/>
      <c r="E102" s="41"/>
      <c r="F102" s="41"/>
      <c r="G102" s="36" t="str">
        <f t="shared" si="1"/>
        <v/>
      </c>
      <c r="H102" s="30" t="str">
        <f t="shared" si="2"/>
        <v/>
      </c>
      <c r="I102" s="37" t="str">
        <f t="shared" si="3"/>
        <v/>
      </c>
    </row>
    <row r="103" ht="18.75" customHeight="1">
      <c r="A103" s="32"/>
      <c r="B103" s="33"/>
      <c r="C103" s="33"/>
      <c r="D103" s="34"/>
      <c r="E103" s="35"/>
      <c r="F103" s="35"/>
      <c r="G103" s="36" t="str">
        <f t="shared" si="1"/>
        <v/>
      </c>
      <c r="H103" s="30" t="str">
        <f t="shared" si="2"/>
        <v/>
      </c>
      <c r="I103" s="37" t="str">
        <f t="shared" si="3"/>
        <v/>
      </c>
    </row>
    <row r="104" ht="18.75" customHeight="1">
      <c r="A104" s="38"/>
      <c r="B104" s="39"/>
      <c r="C104" s="39"/>
      <c r="D104" s="40"/>
      <c r="E104" s="41"/>
      <c r="F104" s="41"/>
      <c r="G104" s="36" t="str">
        <f t="shared" si="1"/>
        <v/>
      </c>
      <c r="H104" s="30" t="str">
        <f t="shared" si="2"/>
        <v/>
      </c>
      <c r="I104" s="37" t="str">
        <f t="shared" si="3"/>
        <v/>
      </c>
    </row>
    <row r="105" ht="18.75" customHeight="1">
      <c r="A105" s="32"/>
      <c r="B105" s="33"/>
      <c r="C105" s="33"/>
      <c r="D105" s="34"/>
      <c r="E105" s="35"/>
      <c r="F105" s="35"/>
      <c r="G105" s="36" t="str">
        <f t="shared" si="1"/>
        <v/>
      </c>
      <c r="H105" s="30" t="str">
        <f t="shared" si="2"/>
        <v/>
      </c>
      <c r="I105" s="37" t="str">
        <f t="shared" si="3"/>
        <v/>
      </c>
    </row>
    <row r="106" ht="18.75" customHeight="1">
      <c r="A106" s="38"/>
      <c r="B106" s="39"/>
      <c r="C106" s="39"/>
      <c r="D106" s="40"/>
      <c r="E106" s="41"/>
      <c r="F106" s="41"/>
      <c r="G106" s="36" t="str">
        <f t="shared" si="1"/>
        <v/>
      </c>
      <c r="H106" s="30" t="str">
        <f t="shared" si="2"/>
        <v/>
      </c>
      <c r="I106" s="37" t="str">
        <f t="shared" si="3"/>
        <v/>
      </c>
    </row>
    <row r="107" ht="18.75" customHeight="1">
      <c r="A107" s="32"/>
      <c r="B107" s="33"/>
      <c r="C107" s="33"/>
      <c r="D107" s="34"/>
      <c r="E107" s="35"/>
      <c r="F107" s="35"/>
      <c r="G107" s="36" t="str">
        <f t="shared" si="1"/>
        <v/>
      </c>
      <c r="H107" s="30" t="str">
        <f t="shared" si="2"/>
        <v/>
      </c>
      <c r="I107" s="37" t="str">
        <f t="shared" si="3"/>
        <v/>
      </c>
    </row>
    <row r="108" ht="18.75" customHeight="1">
      <c r="A108" s="38"/>
      <c r="B108" s="39"/>
      <c r="C108" s="39"/>
      <c r="D108" s="40"/>
      <c r="E108" s="41"/>
      <c r="F108" s="41"/>
      <c r="G108" s="36" t="str">
        <f t="shared" si="1"/>
        <v/>
      </c>
      <c r="H108" s="30" t="str">
        <f t="shared" si="2"/>
        <v/>
      </c>
      <c r="I108" s="37" t="str">
        <f t="shared" si="3"/>
        <v/>
      </c>
    </row>
    <row r="109" ht="18.75" customHeight="1">
      <c r="A109" s="32"/>
      <c r="B109" s="33"/>
      <c r="C109" s="33"/>
      <c r="D109" s="34"/>
      <c r="E109" s="35"/>
      <c r="F109" s="35"/>
      <c r="G109" s="36" t="str">
        <f t="shared" si="1"/>
        <v/>
      </c>
      <c r="H109" s="30" t="str">
        <f t="shared" si="2"/>
        <v/>
      </c>
      <c r="I109" s="37" t="str">
        <f t="shared" si="3"/>
        <v/>
      </c>
    </row>
    <row r="110" ht="18.75" customHeight="1">
      <c r="A110" s="38"/>
      <c r="B110" s="39"/>
      <c r="C110" s="39"/>
      <c r="D110" s="40"/>
      <c r="E110" s="41"/>
      <c r="F110" s="41"/>
      <c r="G110" s="36" t="str">
        <f t="shared" si="1"/>
        <v/>
      </c>
      <c r="H110" s="30" t="str">
        <f t="shared" si="2"/>
        <v/>
      </c>
      <c r="I110" s="37" t="str">
        <f t="shared" si="3"/>
        <v/>
      </c>
    </row>
    <row r="111" ht="18.75" customHeight="1">
      <c r="A111" s="32"/>
      <c r="B111" s="33"/>
      <c r="C111" s="33"/>
      <c r="D111" s="34"/>
      <c r="E111" s="35"/>
      <c r="F111" s="35"/>
      <c r="G111" s="36" t="str">
        <f t="shared" si="1"/>
        <v/>
      </c>
      <c r="H111" s="30" t="str">
        <f t="shared" si="2"/>
        <v/>
      </c>
      <c r="I111" s="37" t="str">
        <f t="shared" si="3"/>
        <v/>
      </c>
    </row>
    <row r="112" ht="18.75" customHeight="1">
      <c r="A112" s="38"/>
      <c r="B112" s="39"/>
      <c r="C112" s="39"/>
      <c r="D112" s="40"/>
      <c r="E112" s="41"/>
      <c r="F112" s="41"/>
      <c r="G112" s="36" t="str">
        <f t="shared" si="1"/>
        <v/>
      </c>
      <c r="H112" s="30" t="str">
        <f t="shared" si="2"/>
        <v/>
      </c>
      <c r="I112" s="37" t="str">
        <f t="shared" si="3"/>
        <v/>
      </c>
    </row>
    <row r="113" ht="18.75" customHeight="1">
      <c r="A113" s="32"/>
      <c r="B113" s="33"/>
      <c r="C113" s="33"/>
      <c r="D113" s="34"/>
      <c r="E113" s="35"/>
      <c r="F113" s="35"/>
      <c r="G113" s="36" t="str">
        <f t="shared" si="1"/>
        <v/>
      </c>
      <c r="H113" s="30" t="str">
        <f t="shared" si="2"/>
        <v/>
      </c>
      <c r="I113" s="37" t="str">
        <f t="shared" si="3"/>
        <v/>
      </c>
    </row>
    <row r="114" ht="18.75" customHeight="1">
      <c r="A114" s="38"/>
      <c r="B114" s="39"/>
      <c r="C114" s="39"/>
      <c r="D114" s="40"/>
      <c r="E114" s="41"/>
      <c r="F114" s="41"/>
      <c r="G114" s="36" t="str">
        <f t="shared" si="1"/>
        <v/>
      </c>
      <c r="H114" s="30" t="str">
        <f t="shared" si="2"/>
        <v/>
      </c>
      <c r="I114" s="37" t="str">
        <f t="shared" si="3"/>
        <v/>
      </c>
    </row>
    <row r="115" ht="18.75" customHeight="1">
      <c r="A115" s="32"/>
      <c r="B115" s="33"/>
      <c r="C115" s="33"/>
      <c r="D115" s="34"/>
      <c r="E115" s="35"/>
      <c r="F115" s="35"/>
      <c r="G115" s="36" t="str">
        <f t="shared" si="1"/>
        <v/>
      </c>
      <c r="H115" s="30" t="str">
        <f t="shared" si="2"/>
        <v/>
      </c>
      <c r="I115" s="37" t="str">
        <f t="shared" si="3"/>
        <v/>
      </c>
    </row>
    <row r="116" ht="18.75" customHeight="1">
      <c r="A116" s="38"/>
      <c r="B116" s="39"/>
      <c r="C116" s="39"/>
      <c r="D116" s="40"/>
      <c r="E116" s="41"/>
      <c r="F116" s="41"/>
      <c r="G116" s="36" t="str">
        <f t="shared" si="1"/>
        <v/>
      </c>
      <c r="H116" s="30" t="str">
        <f t="shared" si="2"/>
        <v/>
      </c>
      <c r="I116" s="37" t="str">
        <f t="shared" si="3"/>
        <v/>
      </c>
    </row>
    <row r="117" ht="18.75" customHeight="1">
      <c r="A117" s="32"/>
      <c r="B117" s="33"/>
      <c r="C117" s="33"/>
      <c r="D117" s="34"/>
      <c r="E117" s="35"/>
      <c r="F117" s="35"/>
      <c r="G117" s="36" t="str">
        <f t="shared" si="1"/>
        <v/>
      </c>
      <c r="H117" s="30" t="str">
        <f t="shared" si="2"/>
        <v/>
      </c>
      <c r="I117" s="37" t="str">
        <f t="shared" si="3"/>
        <v/>
      </c>
    </row>
    <row r="118" ht="18.75" customHeight="1">
      <c r="A118" s="38"/>
      <c r="B118" s="39"/>
      <c r="C118" s="39"/>
      <c r="D118" s="40"/>
      <c r="E118" s="41"/>
      <c r="F118" s="41"/>
      <c r="G118" s="36" t="str">
        <f t="shared" si="1"/>
        <v/>
      </c>
      <c r="H118" s="30" t="str">
        <f t="shared" si="2"/>
        <v/>
      </c>
      <c r="I118" s="37" t="str">
        <f t="shared" si="3"/>
        <v/>
      </c>
    </row>
    <row r="119" ht="18.75" customHeight="1">
      <c r="A119" s="32"/>
      <c r="B119" s="33"/>
      <c r="C119" s="33"/>
      <c r="D119" s="34"/>
      <c r="E119" s="35"/>
      <c r="F119" s="35"/>
      <c r="G119" s="36" t="str">
        <f t="shared" si="1"/>
        <v/>
      </c>
      <c r="H119" s="30" t="str">
        <f t="shared" si="2"/>
        <v/>
      </c>
      <c r="I119" s="37" t="str">
        <f t="shared" si="3"/>
        <v/>
      </c>
    </row>
    <row r="120" ht="18.75" customHeight="1">
      <c r="A120" s="38"/>
      <c r="B120" s="39"/>
      <c r="C120" s="39"/>
      <c r="D120" s="40"/>
      <c r="E120" s="41"/>
      <c r="F120" s="41"/>
      <c r="G120" s="36" t="str">
        <f t="shared" si="1"/>
        <v/>
      </c>
      <c r="H120" s="30" t="str">
        <f t="shared" si="2"/>
        <v/>
      </c>
      <c r="I120" s="37" t="str">
        <f t="shared" si="3"/>
        <v/>
      </c>
    </row>
    <row r="121" ht="18.75" customHeight="1">
      <c r="A121" s="32"/>
      <c r="B121" s="33"/>
      <c r="C121" s="33"/>
      <c r="D121" s="34"/>
      <c r="E121" s="35"/>
      <c r="F121" s="35"/>
      <c r="G121" s="36" t="str">
        <f t="shared" si="1"/>
        <v/>
      </c>
      <c r="H121" s="30" t="str">
        <f t="shared" si="2"/>
        <v/>
      </c>
      <c r="I121" s="37" t="str">
        <f t="shared" si="3"/>
        <v/>
      </c>
    </row>
    <row r="122" ht="18.75" customHeight="1">
      <c r="A122" s="38"/>
      <c r="B122" s="39"/>
      <c r="C122" s="39"/>
      <c r="D122" s="40"/>
      <c r="E122" s="41"/>
      <c r="F122" s="41"/>
      <c r="G122" s="36" t="str">
        <f t="shared" si="1"/>
        <v/>
      </c>
      <c r="H122" s="30" t="str">
        <f t="shared" si="2"/>
        <v/>
      </c>
      <c r="I122" s="37" t="str">
        <f t="shared" si="3"/>
        <v/>
      </c>
    </row>
    <row r="123" ht="18.75" customHeight="1">
      <c r="A123" s="32"/>
      <c r="B123" s="33"/>
      <c r="C123" s="33"/>
      <c r="D123" s="34"/>
      <c r="E123" s="35"/>
      <c r="F123" s="35"/>
      <c r="G123" s="36" t="str">
        <f t="shared" si="1"/>
        <v/>
      </c>
      <c r="H123" s="30" t="str">
        <f t="shared" si="2"/>
        <v/>
      </c>
      <c r="I123" s="37" t="str">
        <f t="shared" si="3"/>
        <v/>
      </c>
    </row>
    <row r="124" ht="18.75" customHeight="1">
      <c r="A124" s="38"/>
      <c r="B124" s="39"/>
      <c r="C124" s="39"/>
      <c r="D124" s="40"/>
      <c r="E124" s="41"/>
      <c r="F124" s="41"/>
      <c r="G124" s="36" t="str">
        <f t="shared" si="1"/>
        <v/>
      </c>
      <c r="H124" s="30" t="str">
        <f t="shared" si="2"/>
        <v/>
      </c>
      <c r="I124" s="37" t="str">
        <f t="shared" si="3"/>
        <v/>
      </c>
    </row>
    <row r="125" ht="18.75" customHeight="1">
      <c r="A125" s="32"/>
      <c r="B125" s="33"/>
      <c r="C125" s="33"/>
      <c r="D125" s="34"/>
      <c r="E125" s="35"/>
      <c r="F125" s="35"/>
      <c r="G125" s="36" t="str">
        <f t="shared" si="1"/>
        <v/>
      </c>
      <c r="H125" s="30" t="str">
        <f t="shared" si="2"/>
        <v/>
      </c>
      <c r="I125" s="37" t="str">
        <f t="shared" si="3"/>
        <v/>
      </c>
    </row>
    <row r="126" ht="18.75" customHeight="1">
      <c r="A126" s="38"/>
      <c r="B126" s="39"/>
      <c r="C126" s="39"/>
      <c r="D126" s="40"/>
      <c r="E126" s="41"/>
      <c r="F126" s="41"/>
      <c r="G126" s="36" t="str">
        <f t="shared" si="1"/>
        <v/>
      </c>
      <c r="H126" s="30" t="str">
        <f t="shared" si="2"/>
        <v/>
      </c>
      <c r="I126" s="37" t="str">
        <f t="shared" si="3"/>
        <v/>
      </c>
    </row>
    <row r="127" ht="18.75" customHeight="1">
      <c r="A127" s="32"/>
      <c r="B127" s="33"/>
      <c r="C127" s="33"/>
      <c r="D127" s="34"/>
      <c r="E127" s="35"/>
      <c r="F127" s="35"/>
      <c r="G127" s="36" t="str">
        <f t="shared" si="1"/>
        <v/>
      </c>
      <c r="H127" s="30" t="str">
        <f t="shared" si="2"/>
        <v/>
      </c>
      <c r="I127" s="37" t="str">
        <f t="shared" si="3"/>
        <v/>
      </c>
    </row>
    <row r="128" ht="18.75" customHeight="1">
      <c r="A128" s="38"/>
      <c r="B128" s="39"/>
      <c r="C128" s="39"/>
      <c r="D128" s="40"/>
      <c r="E128" s="41"/>
      <c r="F128" s="41"/>
      <c r="G128" s="36" t="str">
        <f t="shared" si="1"/>
        <v/>
      </c>
      <c r="H128" s="30" t="str">
        <f t="shared" si="2"/>
        <v/>
      </c>
      <c r="I128" s="37" t="str">
        <f t="shared" si="3"/>
        <v/>
      </c>
    </row>
    <row r="129" ht="18.75" customHeight="1">
      <c r="A129" s="32"/>
      <c r="B129" s="33"/>
      <c r="C129" s="33"/>
      <c r="D129" s="34"/>
      <c r="E129" s="35"/>
      <c r="F129" s="35"/>
      <c r="G129" s="36" t="str">
        <f t="shared" si="1"/>
        <v/>
      </c>
      <c r="H129" s="30" t="str">
        <f t="shared" si="2"/>
        <v/>
      </c>
      <c r="I129" s="37" t="str">
        <f t="shared" si="3"/>
        <v/>
      </c>
    </row>
    <row r="130" ht="18.75" customHeight="1">
      <c r="A130" s="38"/>
      <c r="B130" s="39"/>
      <c r="C130" s="39"/>
      <c r="D130" s="40"/>
      <c r="E130" s="41"/>
      <c r="F130" s="41"/>
      <c r="G130" s="36" t="str">
        <f t="shared" si="1"/>
        <v/>
      </c>
      <c r="H130" s="30" t="str">
        <f t="shared" si="2"/>
        <v/>
      </c>
      <c r="I130" s="37" t="str">
        <f t="shared" si="3"/>
        <v/>
      </c>
    </row>
    <row r="131" ht="18.75" customHeight="1">
      <c r="A131" s="32"/>
      <c r="B131" s="33"/>
      <c r="C131" s="33"/>
      <c r="D131" s="34"/>
      <c r="E131" s="35"/>
      <c r="F131" s="35"/>
      <c r="G131" s="36" t="str">
        <f t="shared" si="1"/>
        <v/>
      </c>
      <c r="H131" s="30" t="str">
        <f t="shared" si="2"/>
        <v/>
      </c>
      <c r="I131" s="37" t="str">
        <f t="shared" si="3"/>
        <v/>
      </c>
    </row>
    <row r="132" ht="18.75" customHeight="1">
      <c r="A132" s="38"/>
      <c r="B132" s="39"/>
      <c r="C132" s="39"/>
      <c r="D132" s="40"/>
      <c r="E132" s="41"/>
      <c r="F132" s="41"/>
      <c r="G132" s="36" t="str">
        <f t="shared" si="1"/>
        <v/>
      </c>
      <c r="H132" s="30" t="str">
        <f t="shared" si="2"/>
        <v/>
      </c>
      <c r="I132" s="37" t="str">
        <f t="shared" si="3"/>
        <v/>
      </c>
    </row>
    <row r="133" ht="18.75" customHeight="1">
      <c r="A133" s="32"/>
      <c r="B133" s="33"/>
      <c r="C133" s="33"/>
      <c r="D133" s="34"/>
      <c r="E133" s="35"/>
      <c r="F133" s="35"/>
      <c r="G133" s="36" t="str">
        <f t="shared" si="1"/>
        <v/>
      </c>
      <c r="H133" s="30" t="str">
        <f t="shared" si="2"/>
        <v/>
      </c>
      <c r="I133" s="37" t="str">
        <f t="shared" si="3"/>
        <v/>
      </c>
    </row>
    <row r="134" ht="18.75" customHeight="1">
      <c r="A134" s="38"/>
      <c r="B134" s="39"/>
      <c r="C134" s="39"/>
      <c r="D134" s="40"/>
      <c r="E134" s="41"/>
      <c r="F134" s="41"/>
      <c r="G134" s="36" t="str">
        <f t="shared" si="1"/>
        <v/>
      </c>
      <c r="H134" s="30" t="str">
        <f t="shared" si="2"/>
        <v/>
      </c>
      <c r="I134" s="37" t="str">
        <f t="shared" si="3"/>
        <v/>
      </c>
    </row>
    <row r="135" ht="18.75" customHeight="1">
      <c r="A135" s="32"/>
      <c r="B135" s="33"/>
      <c r="C135" s="33"/>
      <c r="D135" s="34"/>
      <c r="E135" s="35"/>
      <c r="F135" s="35"/>
      <c r="G135" s="36" t="str">
        <f t="shared" si="1"/>
        <v/>
      </c>
      <c r="H135" s="30" t="str">
        <f t="shared" si="2"/>
        <v/>
      </c>
      <c r="I135" s="37" t="str">
        <f t="shared" si="3"/>
        <v/>
      </c>
    </row>
    <row r="136" ht="18.75" customHeight="1">
      <c r="A136" s="38"/>
      <c r="B136" s="39"/>
      <c r="C136" s="39"/>
      <c r="D136" s="40"/>
      <c r="E136" s="41"/>
      <c r="F136" s="41"/>
      <c r="G136" s="36" t="str">
        <f t="shared" si="1"/>
        <v/>
      </c>
      <c r="H136" s="30" t="str">
        <f t="shared" si="2"/>
        <v/>
      </c>
      <c r="I136" s="37" t="str">
        <f t="shared" si="3"/>
        <v/>
      </c>
    </row>
    <row r="137" ht="18.75" customHeight="1">
      <c r="A137" s="32"/>
      <c r="B137" s="33"/>
      <c r="C137" s="33"/>
      <c r="D137" s="34"/>
      <c r="E137" s="35"/>
      <c r="F137" s="35"/>
      <c r="G137" s="36" t="str">
        <f t="shared" si="1"/>
        <v/>
      </c>
      <c r="H137" s="30" t="str">
        <f t="shared" si="2"/>
        <v/>
      </c>
      <c r="I137" s="37" t="str">
        <f t="shared" si="3"/>
        <v/>
      </c>
    </row>
    <row r="138" ht="18.75" customHeight="1">
      <c r="A138" s="38"/>
      <c r="B138" s="39"/>
      <c r="C138" s="39"/>
      <c r="D138" s="40"/>
      <c r="E138" s="41"/>
      <c r="F138" s="41"/>
      <c r="G138" s="36" t="str">
        <f t="shared" si="1"/>
        <v/>
      </c>
      <c r="H138" s="30" t="str">
        <f t="shared" si="2"/>
        <v/>
      </c>
      <c r="I138" s="37" t="str">
        <f t="shared" si="3"/>
        <v/>
      </c>
    </row>
    <row r="139" ht="18.75" customHeight="1">
      <c r="A139" s="32"/>
      <c r="B139" s="33"/>
      <c r="C139" s="33"/>
      <c r="D139" s="34"/>
      <c r="E139" s="35"/>
      <c r="F139" s="35"/>
      <c r="G139" s="36" t="str">
        <f t="shared" si="1"/>
        <v/>
      </c>
      <c r="H139" s="30" t="str">
        <f t="shared" si="2"/>
        <v/>
      </c>
      <c r="I139" s="37" t="str">
        <f t="shared" si="3"/>
        <v/>
      </c>
    </row>
    <row r="140" ht="18.75" customHeight="1">
      <c r="A140" s="38"/>
      <c r="B140" s="39"/>
      <c r="C140" s="39"/>
      <c r="D140" s="40"/>
      <c r="E140" s="41"/>
      <c r="F140" s="41"/>
      <c r="G140" s="36" t="str">
        <f t="shared" si="1"/>
        <v/>
      </c>
      <c r="H140" s="30" t="str">
        <f t="shared" si="2"/>
        <v/>
      </c>
      <c r="I140" s="37" t="str">
        <f t="shared" si="3"/>
        <v/>
      </c>
    </row>
    <row r="141" ht="18.75" customHeight="1">
      <c r="A141" s="32"/>
      <c r="B141" s="33"/>
      <c r="C141" s="33"/>
      <c r="D141" s="34"/>
      <c r="E141" s="35"/>
      <c r="F141" s="35"/>
      <c r="G141" s="36" t="str">
        <f t="shared" si="1"/>
        <v/>
      </c>
      <c r="H141" s="30" t="str">
        <f t="shared" si="2"/>
        <v/>
      </c>
      <c r="I141" s="37" t="str">
        <f t="shared" si="3"/>
        <v/>
      </c>
    </row>
    <row r="142" ht="18.75" customHeight="1">
      <c r="A142" s="38"/>
      <c r="B142" s="39"/>
      <c r="C142" s="39"/>
      <c r="D142" s="40"/>
      <c r="E142" s="41"/>
      <c r="F142" s="41"/>
      <c r="G142" s="36" t="str">
        <f t="shared" si="1"/>
        <v/>
      </c>
      <c r="H142" s="30" t="str">
        <f t="shared" si="2"/>
        <v/>
      </c>
      <c r="I142" s="37" t="str">
        <f t="shared" si="3"/>
        <v/>
      </c>
    </row>
    <row r="143" ht="18.75" customHeight="1">
      <c r="A143" s="32"/>
      <c r="B143" s="33"/>
      <c r="C143" s="33"/>
      <c r="D143" s="34"/>
      <c r="E143" s="35"/>
      <c r="F143" s="35"/>
      <c r="G143" s="36" t="str">
        <f t="shared" si="1"/>
        <v/>
      </c>
      <c r="H143" s="30" t="str">
        <f t="shared" si="2"/>
        <v/>
      </c>
      <c r="I143" s="37" t="str">
        <f t="shared" si="3"/>
        <v/>
      </c>
    </row>
    <row r="144" ht="18.75" customHeight="1">
      <c r="A144" s="38"/>
      <c r="B144" s="39"/>
      <c r="C144" s="39"/>
      <c r="D144" s="40"/>
      <c r="E144" s="41"/>
      <c r="F144" s="41"/>
      <c r="G144" s="36" t="str">
        <f t="shared" si="1"/>
        <v/>
      </c>
      <c r="H144" s="30" t="str">
        <f t="shared" si="2"/>
        <v/>
      </c>
      <c r="I144" s="37" t="str">
        <f t="shared" si="3"/>
        <v/>
      </c>
    </row>
    <row r="145" ht="18.75" customHeight="1">
      <c r="A145" s="32"/>
      <c r="B145" s="33"/>
      <c r="C145" s="33"/>
      <c r="D145" s="34"/>
      <c r="E145" s="35"/>
      <c r="F145" s="35"/>
      <c r="G145" s="36" t="str">
        <f t="shared" si="1"/>
        <v/>
      </c>
      <c r="H145" s="30" t="str">
        <f t="shared" si="2"/>
        <v/>
      </c>
      <c r="I145" s="37" t="str">
        <f t="shared" si="3"/>
        <v/>
      </c>
    </row>
    <row r="146" ht="18.75" customHeight="1">
      <c r="A146" s="38"/>
      <c r="B146" s="39"/>
      <c r="C146" s="39"/>
      <c r="D146" s="40"/>
      <c r="E146" s="41"/>
      <c r="F146" s="41"/>
      <c r="G146" s="36" t="str">
        <f t="shared" si="1"/>
        <v/>
      </c>
      <c r="H146" s="30" t="str">
        <f t="shared" si="2"/>
        <v/>
      </c>
      <c r="I146" s="37" t="str">
        <f t="shared" si="3"/>
        <v/>
      </c>
    </row>
    <row r="147" ht="18.75" customHeight="1">
      <c r="A147" s="32"/>
      <c r="B147" s="33"/>
      <c r="C147" s="33"/>
      <c r="D147" s="34"/>
      <c r="E147" s="35"/>
      <c r="F147" s="35"/>
      <c r="G147" s="36" t="str">
        <f t="shared" si="1"/>
        <v/>
      </c>
      <c r="H147" s="30" t="str">
        <f t="shared" si="2"/>
        <v/>
      </c>
      <c r="I147" s="37" t="str">
        <f t="shared" si="3"/>
        <v/>
      </c>
    </row>
    <row r="148" ht="18.75" customHeight="1">
      <c r="A148" s="38"/>
      <c r="B148" s="39"/>
      <c r="C148" s="39"/>
      <c r="D148" s="40"/>
      <c r="E148" s="41"/>
      <c r="F148" s="41"/>
      <c r="G148" s="36" t="str">
        <f t="shared" si="1"/>
        <v/>
      </c>
      <c r="H148" s="30" t="str">
        <f t="shared" si="2"/>
        <v/>
      </c>
      <c r="I148" s="37" t="str">
        <f t="shared" si="3"/>
        <v/>
      </c>
    </row>
    <row r="149" ht="18.75" customHeight="1">
      <c r="A149" s="32"/>
      <c r="B149" s="33"/>
      <c r="C149" s="33"/>
      <c r="D149" s="34"/>
      <c r="E149" s="35"/>
      <c r="F149" s="35"/>
      <c r="G149" s="36" t="str">
        <f t="shared" si="1"/>
        <v/>
      </c>
      <c r="H149" s="30" t="str">
        <f t="shared" si="2"/>
        <v/>
      </c>
      <c r="I149" s="37" t="str">
        <f t="shared" si="3"/>
        <v/>
      </c>
    </row>
    <row r="150" ht="18.75" customHeight="1">
      <c r="A150" s="38"/>
      <c r="B150" s="39"/>
      <c r="C150" s="39"/>
      <c r="D150" s="40"/>
      <c r="E150" s="41"/>
      <c r="F150" s="41"/>
      <c r="G150" s="36" t="str">
        <f t="shared" si="1"/>
        <v/>
      </c>
      <c r="H150" s="30" t="str">
        <f t="shared" si="2"/>
        <v/>
      </c>
      <c r="I150" s="37" t="str">
        <f t="shared" si="3"/>
        <v/>
      </c>
    </row>
    <row r="151" ht="18.75" customHeight="1">
      <c r="A151" s="32"/>
      <c r="B151" s="33"/>
      <c r="C151" s="33"/>
      <c r="D151" s="34"/>
      <c r="E151" s="35"/>
      <c r="F151" s="35"/>
      <c r="G151" s="36" t="str">
        <f t="shared" si="1"/>
        <v/>
      </c>
      <c r="H151" s="30" t="str">
        <f t="shared" si="2"/>
        <v/>
      </c>
      <c r="I151" s="37" t="str">
        <f t="shared" si="3"/>
        <v/>
      </c>
    </row>
    <row r="152" ht="18.75" customHeight="1">
      <c r="A152" s="38"/>
      <c r="B152" s="39"/>
      <c r="C152" s="39"/>
      <c r="D152" s="40"/>
      <c r="E152" s="41"/>
      <c r="F152" s="41"/>
      <c r="G152" s="36" t="str">
        <f t="shared" si="1"/>
        <v/>
      </c>
      <c r="H152" s="30" t="str">
        <f t="shared" si="2"/>
        <v/>
      </c>
      <c r="I152" s="37" t="str">
        <f t="shared" si="3"/>
        <v/>
      </c>
    </row>
    <row r="153" ht="18.75" customHeight="1">
      <c r="A153" s="32"/>
      <c r="B153" s="33"/>
      <c r="C153" s="33"/>
      <c r="D153" s="34"/>
      <c r="E153" s="35"/>
      <c r="F153" s="35"/>
      <c r="G153" s="36" t="str">
        <f t="shared" si="1"/>
        <v/>
      </c>
      <c r="H153" s="30" t="str">
        <f t="shared" si="2"/>
        <v/>
      </c>
      <c r="I153" s="37" t="str">
        <f t="shared" si="3"/>
        <v/>
      </c>
    </row>
    <row r="154" ht="18.75" customHeight="1">
      <c r="A154" s="38"/>
      <c r="B154" s="39"/>
      <c r="C154" s="39"/>
      <c r="D154" s="40"/>
      <c r="E154" s="41"/>
      <c r="F154" s="41"/>
      <c r="G154" s="36" t="str">
        <f t="shared" si="1"/>
        <v/>
      </c>
      <c r="H154" s="30" t="str">
        <f t="shared" si="2"/>
        <v/>
      </c>
      <c r="I154" s="37" t="str">
        <f t="shared" si="3"/>
        <v/>
      </c>
    </row>
    <row r="155" ht="18.75" customHeight="1">
      <c r="A155" s="32"/>
      <c r="B155" s="33"/>
      <c r="C155" s="33"/>
      <c r="D155" s="34"/>
      <c r="E155" s="35"/>
      <c r="F155" s="35"/>
      <c r="G155" s="36" t="str">
        <f t="shared" si="1"/>
        <v/>
      </c>
      <c r="H155" s="30" t="str">
        <f t="shared" si="2"/>
        <v/>
      </c>
      <c r="I155" s="37" t="str">
        <f t="shared" si="3"/>
        <v/>
      </c>
    </row>
    <row r="156" ht="18.75" customHeight="1">
      <c r="A156" s="38"/>
      <c r="B156" s="39"/>
      <c r="C156" s="39"/>
      <c r="D156" s="40"/>
      <c r="E156" s="41"/>
      <c r="F156" s="41"/>
      <c r="G156" s="36" t="str">
        <f t="shared" si="1"/>
        <v/>
      </c>
      <c r="H156" s="30" t="str">
        <f t="shared" si="2"/>
        <v/>
      </c>
      <c r="I156" s="37" t="str">
        <f t="shared" si="3"/>
        <v/>
      </c>
    </row>
    <row r="157" ht="18.75" customHeight="1">
      <c r="A157" s="32"/>
      <c r="B157" s="33"/>
      <c r="C157" s="33"/>
      <c r="D157" s="34"/>
      <c r="E157" s="35"/>
      <c r="F157" s="35"/>
      <c r="G157" s="36" t="str">
        <f t="shared" si="1"/>
        <v/>
      </c>
      <c r="H157" s="30" t="str">
        <f t="shared" si="2"/>
        <v/>
      </c>
      <c r="I157" s="37" t="str">
        <f t="shared" si="3"/>
        <v/>
      </c>
    </row>
    <row r="158" ht="18.75" customHeight="1">
      <c r="A158" s="38"/>
      <c r="B158" s="39"/>
      <c r="C158" s="39"/>
      <c r="D158" s="40"/>
      <c r="E158" s="41"/>
      <c r="F158" s="41"/>
      <c r="G158" s="36" t="str">
        <f t="shared" si="1"/>
        <v/>
      </c>
      <c r="H158" s="30" t="str">
        <f t="shared" si="2"/>
        <v/>
      </c>
      <c r="I158" s="37" t="str">
        <f t="shared" si="3"/>
        <v/>
      </c>
    </row>
    <row r="159" ht="18.75" customHeight="1">
      <c r="A159" s="32"/>
      <c r="B159" s="33"/>
      <c r="C159" s="33"/>
      <c r="D159" s="34"/>
      <c r="E159" s="35"/>
      <c r="F159" s="35"/>
      <c r="G159" s="36" t="str">
        <f t="shared" si="1"/>
        <v/>
      </c>
      <c r="H159" s="30" t="str">
        <f t="shared" si="2"/>
        <v/>
      </c>
      <c r="I159" s="37" t="str">
        <f t="shared" si="3"/>
        <v/>
      </c>
    </row>
    <row r="160" ht="18.75" customHeight="1">
      <c r="A160" s="38"/>
      <c r="B160" s="39"/>
      <c r="C160" s="39"/>
      <c r="D160" s="40"/>
      <c r="E160" s="41"/>
      <c r="F160" s="41"/>
      <c r="G160" s="36" t="str">
        <f t="shared" si="1"/>
        <v/>
      </c>
      <c r="H160" s="30" t="str">
        <f t="shared" si="2"/>
        <v/>
      </c>
      <c r="I160" s="37" t="str">
        <f t="shared" si="3"/>
        <v/>
      </c>
    </row>
    <row r="161" ht="18.75" customHeight="1">
      <c r="A161" s="32"/>
      <c r="B161" s="33"/>
      <c r="C161" s="33"/>
      <c r="D161" s="34"/>
      <c r="E161" s="35"/>
      <c r="F161" s="35"/>
      <c r="G161" s="36" t="str">
        <f t="shared" si="1"/>
        <v/>
      </c>
      <c r="H161" s="30" t="str">
        <f t="shared" si="2"/>
        <v/>
      </c>
      <c r="I161" s="37" t="str">
        <f t="shared" si="3"/>
        <v/>
      </c>
    </row>
    <row r="162" ht="18.75" customHeight="1">
      <c r="A162" s="38"/>
      <c r="B162" s="39"/>
      <c r="C162" s="39"/>
      <c r="D162" s="40"/>
      <c r="E162" s="41"/>
      <c r="F162" s="41"/>
      <c r="G162" s="36" t="str">
        <f t="shared" si="1"/>
        <v/>
      </c>
      <c r="H162" s="30" t="str">
        <f t="shared" si="2"/>
        <v/>
      </c>
      <c r="I162" s="37" t="str">
        <f t="shared" si="3"/>
        <v/>
      </c>
    </row>
    <row r="163" ht="18.75" customHeight="1">
      <c r="A163" s="32"/>
      <c r="B163" s="33"/>
      <c r="C163" s="33"/>
      <c r="D163" s="34"/>
      <c r="E163" s="35"/>
      <c r="F163" s="35"/>
      <c r="G163" s="36" t="str">
        <f t="shared" si="1"/>
        <v/>
      </c>
      <c r="H163" s="30" t="str">
        <f t="shared" si="2"/>
        <v/>
      </c>
      <c r="I163" s="37" t="str">
        <f t="shared" si="3"/>
        <v/>
      </c>
    </row>
    <row r="164" ht="18.75" customHeight="1">
      <c r="A164" s="38"/>
      <c r="B164" s="39"/>
      <c r="C164" s="39"/>
      <c r="D164" s="40"/>
      <c r="E164" s="41"/>
      <c r="F164" s="41"/>
      <c r="G164" s="36" t="str">
        <f t="shared" si="1"/>
        <v/>
      </c>
      <c r="H164" s="30" t="str">
        <f t="shared" si="2"/>
        <v/>
      </c>
      <c r="I164" s="37" t="str">
        <f t="shared" si="3"/>
        <v/>
      </c>
    </row>
    <row r="165" ht="18.75" customHeight="1">
      <c r="A165" s="32"/>
      <c r="B165" s="33"/>
      <c r="C165" s="33"/>
      <c r="D165" s="34"/>
      <c r="E165" s="35"/>
      <c r="F165" s="35"/>
      <c r="G165" s="36" t="str">
        <f t="shared" si="1"/>
        <v/>
      </c>
      <c r="H165" s="30" t="str">
        <f t="shared" si="2"/>
        <v/>
      </c>
      <c r="I165" s="37" t="str">
        <f t="shared" si="3"/>
        <v/>
      </c>
    </row>
    <row r="166" ht="18.75" customHeight="1">
      <c r="A166" s="38"/>
      <c r="B166" s="39"/>
      <c r="C166" s="39"/>
      <c r="D166" s="40"/>
      <c r="E166" s="41"/>
      <c r="F166" s="41"/>
      <c r="G166" s="36" t="str">
        <f t="shared" si="1"/>
        <v/>
      </c>
      <c r="H166" s="30" t="str">
        <f t="shared" si="2"/>
        <v/>
      </c>
      <c r="I166" s="37" t="str">
        <f t="shared" si="3"/>
        <v/>
      </c>
    </row>
    <row r="167" ht="18.75" customHeight="1">
      <c r="A167" s="32"/>
      <c r="B167" s="33"/>
      <c r="C167" s="33"/>
      <c r="D167" s="34"/>
      <c r="E167" s="35"/>
      <c r="F167" s="35"/>
      <c r="G167" s="36" t="str">
        <f t="shared" si="1"/>
        <v/>
      </c>
      <c r="H167" s="30" t="str">
        <f t="shared" si="2"/>
        <v/>
      </c>
      <c r="I167" s="37" t="str">
        <f t="shared" si="3"/>
        <v/>
      </c>
    </row>
    <row r="168" ht="18.75" customHeight="1">
      <c r="A168" s="38"/>
      <c r="B168" s="39"/>
      <c r="C168" s="39"/>
      <c r="D168" s="40"/>
      <c r="E168" s="41"/>
      <c r="F168" s="41"/>
      <c r="G168" s="36" t="str">
        <f t="shared" si="1"/>
        <v/>
      </c>
      <c r="H168" s="30" t="str">
        <f t="shared" si="2"/>
        <v/>
      </c>
      <c r="I168" s="37" t="str">
        <f t="shared" si="3"/>
        <v/>
      </c>
    </row>
    <row r="169" ht="18.75" customHeight="1">
      <c r="A169" s="32"/>
      <c r="B169" s="33"/>
      <c r="C169" s="33"/>
      <c r="D169" s="34"/>
      <c r="E169" s="35"/>
      <c r="F169" s="35"/>
      <c r="G169" s="36" t="str">
        <f t="shared" si="1"/>
        <v/>
      </c>
      <c r="H169" s="30" t="str">
        <f t="shared" si="2"/>
        <v/>
      </c>
      <c r="I169" s="37" t="str">
        <f t="shared" si="3"/>
        <v/>
      </c>
    </row>
    <row r="170" ht="18.75" customHeight="1">
      <c r="A170" s="38"/>
      <c r="B170" s="39"/>
      <c r="C170" s="39"/>
      <c r="D170" s="40"/>
      <c r="E170" s="41"/>
      <c r="F170" s="41"/>
      <c r="G170" s="36" t="str">
        <f t="shared" si="1"/>
        <v/>
      </c>
      <c r="H170" s="30" t="str">
        <f t="shared" si="2"/>
        <v/>
      </c>
      <c r="I170" s="37" t="str">
        <f t="shared" si="3"/>
        <v/>
      </c>
    </row>
    <row r="171" ht="18.75" customHeight="1">
      <c r="A171" s="32"/>
      <c r="B171" s="33"/>
      <c r="C171" s="33"/>
      <c r="D171" s="34"/>
      <c r="E171" s="35"/>
      <c r="F171" s="35"/>
      <c r="G171" s="36" t="str">
        <f t="shared" si="1"/>
        <v/>
      </c>
      <c r="H171" s="30" t="str">
        <f t="shared" si="2"/>
        <v/>
      </c>
      <c r="I171" s="37" t="str">
        <f t="shared" si="3"/>
        <v/>
      </c>
    </row>
    <row r="172" ht="18.75" customHeight="1">
      <c r="A172" s="38"/>
      <c r="B172" s="39"/>
      <c r="C172" s="39"/>
      <c r="D172" s="40"/>
      <c r="E172" s="41"/>
      <c r="F172" s="41"/>
      <c r="G172" s="36" t="str">
        <f t="shared" si="1"/>
        <v/>
      </c>
      <c r="H172" s="30" t="str">
        <f t="shared" si="2"/>
        <v/>
      </c>
      <c r="I172" s="37" t="str">
        <f t="shared" si="3"/>
        <v/>
      </c>
    </row>
    <row r="173" ht="18.75" customHeight="1">
      <c r="A173" s="32"/>
      <c r="B173" s="33"/>
      <c r="C173" s="33"/>
      <c r="D173" s="34"/>
      <c r="E173" s="35"/>
      <c r="F173" s="35"/>
      <c r="G173" s="36" t="str">
        <f t="shared" si="1"/>
        <v/>
      </c>
      <c r="H173" s="30" t="str">
        <f t="shared" si="2"/>
        <v/>
      </c>
      <c r="I173" s="37" t="str">
        <f t="shared" si="3"/>
        <v/>
      </c>
    </row>
    <row r="174" ht="18.75" customHeight="1">
      <c r="A174" s="38"/>
      <c r="B174" s="39"/>
      <c r="C174" s="39"/>
      <c r="D174" s="40"/>
      <c r="E174" s="41"/>
      <c r="F174" s="41"/>
      <c r="G174" s="36" t="str">
        <f t="shared" si="1"/>
        <v/>
      </c>
      <c r="H174" s="30" t="str">
        <f t="shared" si="2"/>
        <v/>
      </c>
      <c r="I174" s="37" t="str">
        <f t="shared" si="3"/>
        <v/>
      </c>
    </row>
    <row r="175" ht="18.75" customHeight="1">
      <c r="A175" s="32"/>
      <c r="B175" s="33"/>
      <c r="C175" s="33"/>
      <c r="D175" s="34"/>
      <c r="E175" s="35"/>
      <c r="F175" s="35"/>
      <c r="G175" s="36" t="str">
        <f t="shared" si="1"/>
        <v/>
      </c>
      <c r="H175" s="30" t="str">
        <f t="shared" si="2"/>
        <v/>
      </c>
      <c r="I175" s="37" t="str">
        <f t="shared" si="3"/>
        <v/>
      </c>
    </row>
    <row r="176" ht="18.75" customHeight="1">
      <c r="A176" s="38"/>
      <c r="B176" s="39"/>
      <c r="C176" s="39"/>
      <c r="D176" s="40"/>
      <c r="E176" s="41"/>
      <c r="F176" s="41"/>
      <c r="G176" s="36" t="str">
        <f t="shared" si="1"/>
        <v/>
      </c>
      <c r="H176" s="30" t="str">
        <f t="shared" si="2"/>
        <v/>
      </c>
      <c r="I176" s="37" t="str">
        <f t="shared" si="3"/>
        <v/>
      </c>
    </row>
    <row r="177" ht="18.75" customHeight="1">
      <c r="A177" s="32"/>
      <c r="B177" s="33"/>
      <c r="C177" s="33"/>
      <c r="D177" s="34"/>
      <c r="E177" s="35"/>
      <c r="F177" s="35"/>
      <c r="G177" s="36" t="str">
        <f t="shared" si="1"/>
        <v/>
      </c>
      <c r="H177" s="30" t="str">
        <f t="shared" si="2"/>
        <v/>
      </c>
      <c r="I177" s="37" t="str">
        <f t="shared" si="3"/>
        <v/>
      </c>
    </row>
    <row r="178" ht="18.75" customHeight="1">
      <c r="A178" s="38"/>
      <c r="B178" s="39"/>
      <c r="C178" s="39"/>
      <c r="D178" s="40"/>
      <c r="E178" s="41"/>
      <c r="F178" s="41"/>
      <c r="G178" s="36" t="str">
        <f t="shared" si="1"/>
        <v/>
      </c>
      <c r="H178" s="30" t="str">
        <f t="shared" si="2"/>
        <v/>
      </c>
      <c r="I178" s="37" t="str">
        <f t="shared" si="3"/>
        <v/>
      </c>
    </row>
    <row r="179" ht="18.75" customHeight="1">
      <c r="A179" s="32"/>
      <c r="B179" s="33"/>
      <c r="C179" s="33"/>
      <c r="D179" s="34"/>
      <c r="E179" s="35"/>
      <c r="F179" s="35"/>
      <c r="G179" s="36" t="str">
        <f t="shared" si="1"/>
        <v/>
      </c>
      <c r="H179" s="30" t="str">
        <f t="shared" si="2"/>
        <v/>
      </c>
      <c r="I179" s="37" t="str">
        <f t="shared" si="3"/>
        <v/>
      </c>
    </row>
    <row r="180" ht="18.75" customHeight="1">
      <c r="A180" s="38"/>
      <c r="B180" s="39"/>
      <c r="C180" s="39"/>
      <c r="D180" s="40"/>
      <c r="E180" s="41"/>
      <c r="F180" s="41"/>
      <c r="G180" s="36" t="str">
        <f t="shared" si="1"/>
        <v/>
      </c>
      <c r="H180" s="30" t="str">
        <f t="shared" si="2"/>
        <v/>
      </c>
      <c r="I180" s="37" t="str">
        <f t="shared" si="3"/>
        <v/>
      </c>
    </row>
    <row r="181" ht="18.75" customHeight="1">
      <c r="A181" s="32"/>
      <c r="B181" s="33"/>
      <c r="C181" s="33"/>
      <c r="D181" s="34"/>
      <c r="E181" s="35"/>
      <c r="F181" s="35"/>
      <c r="G181" s="36" t="str">
        <f t="shared" si="1"/>
        <v/>
      </c>
      <c r="H181" s="30" t="str">
        <f t="shared" si="2"/>
        <v/>
      </c>
      <c r="I181" s="37" t="str">
        <f t="shared" si="3"/>
        <v/>
      </c>
    </row>
    <row r="182" ht="18.75" customHeight="1">
      <c r="A182" s="38"/>
      <c r="B182" s="39"/>
      <c r="C182" s="39"/>
      <c r="D182" s="40"/>
      <c r="E182" s="41"/>
      <c r="F182" s="41"/>
      <c r="G182" s="36" t="str">
        <f t="shared" si="1"/>
        <v/>
      </c>
      <c r="H182" s="30" t="str">
        <f t="shared" si="2"/>
        <v/>
      </c>
      <c r="I182" s="37" t="str">
        <f t="shared" si="3"/>
        <v/>
      </c>
    </row>
    <row r="183" ht="18.75" customHeight="1">
      <c r="A183" s="32"/>
      <c r="B183" s="33"/>
      <c r="C183" s="33"/>
      <c r="D183" s="34"/>
      <c r="E183" s="35"/>
      <c r="F183" s="35"/>
      <c r="G183" s="36" t="str">
        <f t="shared" si="1"/>
        <v/>
      </c>
      <c r="H183" s="30" t="str">
        <f t="shared" si="2"/>
        <v/>
      </c>
      <c r="I183" s="37" t="str">
        <f t="shared" si="3"/>
        <v/>
      </c>
    </row>
    <row r="184" ht="18.75" customHeight="1">
      <c r="A184" s="38"/>
      <c r="B184" s="39"/>
      <c r="C184" s="39"/>
      <c r="D184" s="40"/>
      <c r="E184" s="41"/>
      <c r="F184" s="41"/>
      <c r="G184" s="36" t="str">
        <f t="shared" si="1"/>
        <v/>
      </c>
      <c r="H184" s="30" t="str">
        <f t="shared" si="2"/>
        <v/>
      </c>
      <c r="I184" s="37" t="str">
        <f t="shared" si="3"/>
        <v/>
      </c>
    </row>
    <row r="185" ht="18.75" customHeight="1">
      <c r="A185" s="32"/>
      <c r="B185" s="33"/>
      <c r="C185" s="33"/>
      <c r="D185" s="34"/>
      <c r="E185" s="35"/>
      <c r="F185" s="35"/>
      <c r="G185" s="36" t="str">
        <f t="shared" si="1"/>
        <v/>
      </c>
      <c r="H185" s="30" t="str">
        <f t="shared" si="2"/>
        <v/>
      </c>
      <c r="I185" s="37" t="str">
        <f t="shared" si="3"/>
        <v/>
      </c>
    </row>
    <row r="186" ht="18.75" customHeight="1">
      <c r="A186" s="38"/>
      <c r="B186" s="39"/>
      <c r="C186" s="39"/>
      <c r="D186" s="40"/>
      <c r="E186" s="41"/>
      <c r="F186" s="41"/>
      <c r="G186" s="36" t="str">
        <f t="shared" si="1"/>
        <v/>
      </c>
      <c r="H186" s="30" t="str">
        <f t="shared" si="2"/>
        <v/>
      </c>
      <c r="I186" s="37" t="str">
        <f t="shared" si="3"/>
        <v/>
      </c>
    </row>
    <row r="187" ht="18.75" customHeight="1">
      <c r="A187" s="32"/>
      <c r="B187" s="33"/>
      <c r="C187" s="33"/>
      <c r="D187" s="34"/>
      <c r="E187" s="35"/>
      <c r="F187" s="35"/>
      <c r="G187" s="36" t="str">
        <f t="shared" si="1"/>
        <v/>
      </c>
      <c r="H187" s="30" t="str">
        <f t="shared" si="2"/>
        <v/>
      </c>
      <c r="I187" s="37" t="str">
        <f t="shared" si="3"/>
        <v/>
      </c>
    </row>
    <row r="188" ht="18.75" customHeight="1">
      <c r="A188" s="38"/>
      <c r="B188" s="39"/>
      <c r="C188" s="39"/>
      <c r="D188" s="40"/>
      <c r="E188" s="41"/>
      <c r="F188" s="41"/>
      <c r="G188" s="36" t="str">
        <f t="shared" si="1"/>
        <v/>
      </c>
      <c r="H188" s="30" t="str">
        <f t="shared" si="2"/>
        <v/>
      </c>
      <c r="I188" s="37" t="str">
        <f t="shared" si="3"/>
        <v/>
      </c>
    </row>
    <row r="189" ht="18.75" customHeight="1">
      <c r="A189" s="32"/>
      <c r="B189" s="33"/>
      <c r="C189" s="33"/>
      <c r="D189" s="34"/>
      <c r="E189" s="35"/>
      <c r="F189" s="35"/>
      <c r="G189" s="36" t="str">
        <f t="shared" si="1"/>
        <v/>
      </c>
      <c r="H189" s="30" t="str">
        <f t="shared" si="2"/>
        <v/>
      </c>
      <c r="I189" s="37" t="str">
        <f t="shared" si="3"/>
        <v/>
      </c>
    </row>
    <row r="190" ht="18.75" customHeight="1">
      <c r="A190" s="38"/>
      <c r="B190" s="39"/>
      <c r="C190" s="39"/>
      <c r="D190" s="40"/>
      <c r="E190" s="41"/>
      <c r="F190" s="41"/>
      <c r="G190" s="36" t="str">
        <f t="shared" si="1"/>
        <v/>
      </c>
      <c r="H190" s="30" t="str">
        <f t="shared" si="2"/>
        <v/>
      </c>
      <c r="I190" s="37" t="str">
        <f t="shared" si="3"/>
        <v/>
      </c>
    </row>
    <row r="191" ht="18.75" customHeight="1">
      <c r="A191" s="32"/>
      <c r="B191" s="33"/>
      <c r="C191" s="33"/>
      <c r="D191" s="34"/>
      <c r="E191" s="35"/>
      <c r="F191" s="35"/>
      <c r="G191" s="36" t="str">
        <f t="shared" si="1"/>
        <v/>
      </c>
      <c r="H191" s="30" t="str">
        <f t="shared" si="2"/>
        <v/>
      </c>
      <c r="I191" s="37" t="str">
        <f t="shared" si="3"/>
        <v/>
      </c>
    </row>
    <row r="192" ht="18.75" customHeight="1">
      <c r="A192" s="38"/>
      <c r="B192" s="39"/>
      <c r="C192" s="39"/>
      <c r="D192" s="40"/>
      <c r="E192" s="41"/>
      <c r="F192" s="41"/>
      <c r="G192" s="36" t="str">
        <f t="shared" si="1"/>
        <v/>
      </c>
      <c r="H192" s="30" t="str">
        <f t="shared" si="2"/>
        <v/>
      </c>
      <c r="I192" s="37" t="str">
        <f t="shared" si="3"/>
        <v/>
      </c>
    </row>
    <row r="193" ht="18.75" customHeight="1">
      <c r="A193" s="32"/>
      <c r="B193" s="33"/>
      <c r="C193" s="33"/>
      <c r="D193" s="34"/>
      <c r="E193" s="35"/>
      <c r="F193" s="35"/>
      <c r="G193" s="36" t="str">
        <f t="shared" si="1"/>
        <v/>
      </c>
      <c r="H193" s="30" t="str">
        <f t="shared" si="2"/>
        <v/>
      </c>
      <c r="I193" s="37" t="str">
        <f t="shared" si="3"/>
        <v/>
      </c>
    </row>
    <row r="194" ht="18.75" customHeight="1">
      <c r="A194" s="38"/>
      <c r="B194" s="39"/>
      <c r="C194" s="39"/>
      <c r="D194" s="40"/>
      <c r="E194" s="41"/>
      <c r="F194" s="41"/>
      <c r="G194" s="36" t="str">
        <f t="shared" si="1"/>
        <v/>
      </c>
      <c r="H194" s="30" t="str">
        <f t="shared" si="2"/>
        <v/>
      </c>
      <c r="I194" s="37" t="str">
        <f t="shared" si="3"/>
        <v/>
      </c>
    </row>
    <row r="195" ht="18.75" customHeight="1">
      <c r="A195" s="32"/>
      <c r="B195" s="33"/>
      <c r="C195" s="33"/>
      <c r="D195" s="34"/>
      <c r="E195" s="35"/>
      <c r="F195" s="35"/>
      <c r="G195" s="36" t="str">
        <f t="shared" si="1"/>
        <v/>
      </c>
      <c r="H195" s="30" t="str">
        <f t="shared" si="2"/>
        <v/>
      </c>
      <c r="I195" s="37" t="str">
        <f t="shared" si="3"/>
        <v/>
      </c>
    </row>
    <row r="196" ht="18.75" customHeight="1">
      <c r="A196" s="38"/>
      <c r="B196" s="39"/>
      <c r="C196" s="39"/>
      <c r="D196" s="40"/>
      <c r="E196" s="41"/>
      <c r="F196" s="41"/>
      <c r="G196" s="36" t="str">
        <f t="shared" si="1"/>
        <v/>
      </c>
      <c r="H196" s="30" t="str">
        <f t="shared" si="2"/>
        <v/>
      </c>
      <c r="I196" s="37" t="str">
        <f t="shared" si="3"/>
        <v/>
      </c>
    </row>
    <row r="197" ht="18.75" customHeight="1">
      <c r="A197" s="32"/>
      <c r="B197" s="33"/>
      <c r="C197" s="33"/>
      <c r="D197" s="34"/>
      <c r="E197" s="35"/>
      <c r="F197" s="35"/>
      <c r="G197" s="36" t="str">
        <f t="shared" si="1"/>
        <v/>
      </c>
      <c r="H197" s="30" t="str">
        <f t="shared" si="2"/>
        <v/>
      </c>
      <c r="I197" s="37" t="str">
        <f t="shared" si="3"/>
        <v/>
      </c>
    </row>
    <row r="198" ht="18.75" customHeight="1">
      <c r="A198" s="38"/>
      <c r="B198" s="39"/>
      <c r="C198" s="39"/>
      <c r="D198" s="40"/>
      <c r="E198" s="41"/>
      <c r="F198" s="41"/>
      <c r="G198" s="36" t="str">
        <f t="shared" si="1"/>
        <v/>
      </c>
      <c r="H198" s="30" t="str">
        <f t="shared" si="2"/>
        <v/>
      </c>
      <c r="I198" s="37" t="str">
        <f t="shared" si="3"/>
        <v/>
      </c>
    </row>
    <row r="199" ht="18.75" customHeight="1">
      <c r="A199" s="32"/>
      <c r="B199" s="33"/>
      <c r="C199" s="33"/>
      <c r="D199" s="34"/>
      <c r="E199" s="35"/>
      <c r="F199" s="35"/>
      <c r="G199" s="36" t="str">
        <f t="shared" si="1"/>
        <v/>
      </c>
      <c r="H199" s="30" t="str">
        <f t="shared" si="2"/>
        <v/>
      </c>
      <c r="I199" s="37" t="str">
        <f t="shared" si="3"/>
        <v/>
      </c>
    </row>
    <row r="200" ht="18.75" customHeight="1">
      <c r="A200" s="38"/>
      <c r="B200" s="39"/>
      <c r="C200" s="39"/>
      <c r="D200" s="40"/>
      <c r="E200" s="41"/>
      <c r="F200" s="41"/>
      <c r="G200" s="36" t="str">
        <f t="shared" si="1"/>
        <v/>
      </c>
      <c r="H200" s="30" t="str">
        <f t="shared" si="2"/>
        <v/>
      </c>
      <c r="I200" s="37" t="str">
        <f t="shared" si="3"/>
        <v/>
      </c>
    </row>
    <row r="201" ht="18.75" customHeight="1">
      <c r="A201" s="32"/>
      <c r="B201" s="33"/>
      <c r="C201" s="33"/>
      <c r="D201" s="34"/>
      <c r="E201" s="35"/>
      <c r="F201" s="35"/>
      <c r="G201" s="36" t="str">
        <f t="shared" si="1"/>
        <v/>
      </c>
      <c r="H201" s="30" t="str">
        <f t="shared" si="2"/>
        <v/>
      </c>
      <c r="I201" s="37" t="str">
        <f t="shared" si="3"/>
        <v/>
      </c>
    </row>
    <row r="202" ht="18.75" customHeight="1">
      <c r="A202" s="38"/>
      <c r="B202" s="39"/>
      <c r="C202" s="39"/>
      <c r="D202" s="40"/>
      <c r="E202" s="41"/>
      <c r="F202" s="41"/>
      <c r="G202" s="36" t="str">
        <f t="shared" si="1"/>
        <v/>
      </c>
      <c r="H202" s="30" t="str">
        <f t="shared" si="2"/>
        <v/>
      </c>
      <c r="I202" s="37" t="str">
        <f t="shared" si="3"/>
        <v/>
      </c>
    </row>
    <row r="203" ht="18.75" customHeight="1">
      <c r="A203" s="32"/>
      <c r="B203" s="33"/>
      <c r="C203" s="33"/>
      <c r="D203" s="34"/>
      <c r="E203" s="35"/>
      <c r="F203" s="35"/>
      <c r="G203" s="36" t="str">
        <f t="shared" si="1"/>
        <v/>
      </c>
      <c r="H203" s="30" t="str">
        <f t="shared" si="2"/>
        <v/>
      </c>
      <c r="I203" s="37" t="str">
        <f t="shared" si="3"/>
        <v/>
      </c>
    </row>
    <row r="204" ht="18.75" customHeight="1">
      <c r="A204" s="38"/>
      <c r="B204" s="39"/>
      <c r="C204" s="39"/>
      <c r="D204" s="40"/>
      <c r="E204" s="41"/>
      <c r="F204" s="41"/>
      <c r="G204" s="36" t="str">
        <f t="shared" si="1"/>
        <v/>
      </c>
      <c r="H204" s="30" t="str">
        <f t="shared" si="2"/>
        <v/>
      </c>
      <c r="I204" s="37" t="str">
        <f t="shared" si="3"/>
        <v/>
      </c>
    </row>
    <row r="205" ht="18.75" customHeight="1">
      <c r="A205" s="32"/>
      <c r="B205" s="33"/>
      <c r="C205" s="33"/>
      <c r="D205" s="34"/>
      <c r="E205" s="35"/>
      <c r="F205" s="35"/>
      <c r="G205" s="36" t="str">
        <f t="shared" si="1"/>
        <v/>
      </c>
      <c r="H205" s="30" t="str">
        <f t="shared" si="2"/>
        <v/>
      </c>
      <c r="I205" s="37" t="str">
        <f t="shared" si="3"/>
        <v/>
      </c>
    </row>
    <row r="206" ht="18.75" customHeight="1">
      <c r="A206" s="38"/>
      <c r="B206" s="39"/>
      <c r="C206" s="39"/>
      <c r="D206" s="40"/>
      <c r="E206" s="41"/>
      <c r="F206" s="41"/>
      <c r="G206" s="36" t="str">
        <f t="shared" si="1"/>
        <v/>
      </c>
      <c r="H206" s="30" t="str">
        <f t="shared" si="2"/>
        <v/>
      </c>
      <c r="I206" s="37" t="str">
        <f t="shared" si="3"/>
        <v/>
      </c>
    </row>
    <row r="207" ht="18.75" customHeight="1">
      <c r="A207" s="32"/>
      <c r="B207" s="33"/>
      <c r="C207" s="33"/>
      <c r="D207" s="34"/>
      <c r="E207" s="35"/>
      <c r="F207" s="35"/>
      <c r="G207" s="36" t="str">
        <f t="shared" si="1"/>
        <v/>
      </c>
      <c r="H207" s="30" t="str">
        <f t="shared" si="2"/>
        <v/>
      </c>
      <c r="I207" s="37" t="str">
        <f t="shared" si="3"/>
        <v/>
      </c>
    </row>
    <row r="208" ht="18.75" customHeight="1">
      <c r="A208" s="38"/>
      <c r="B208" s="39"/>
      <c r="C208" s="39"/>
      <c r="D208" s="40"/>
      <c r="E208" s="41"/>
      <c r="F208" s="41"/>
      <c r="G208" s="36" t="str">
        <f t="shared" si="1"/>
        <v/>
      </c>
      <c r="H208" s="30" t="str">
        <f t="shared" si="2"/>
        <v/>
      </c>
      <c r="I208" s="37" t="str">
        <f t="shared" si="3"/>
        <v/>
      </c>
    </row>
    <row r="209" ht="18.75" customHeight="1">
      <c r="A209" s="32"/>
      <c r="B209" s="33"/>
      <c r="C209" s="33"/>
      <c r="D209" s="34"/>
      <c r="E209" s="35"/>
      <c r="F209" s="35"/>
      <c r="G209" s="36" t="str">
        <f t="shared" si="1"/>
        <v/>
      </c>
      <c r="H209" s="30" t="str">
        <f t="shared" si="2"/>
        <v/>
      </c>
      <c r="I209" s="37" t="str">
        <f t="shared" si="3"/>
        <v/>
      </c>
    </row>
    <row r="210" ht="18.75" customHeight="1">
      <c r="A210" s="38"/>
      <c r="B210" s="39"/>
      <c r="C210" s="39"/>
      <c r="D210" s="40"/>
      <c r="E210" s="41"/>
      <c r="F210" s="41"/>
      <c r="G210" s="36" t="str">
        <f t="shared" si="1"/>
        <v/>
      </c>
      <c r="H210" s="30" t="str">
        <f t="shared" si="2"/>
        <v/>
      </c>
      <c r="I210" s="37" t="str">
        <f t="shared" si="3"/>
        <v/>
      </c>
    </row>
    <row r="211" ht="18.75" customHeight="1">
      <c r="A211" s="32"/>
      <c r="B211" s="33"/>
      <c r="C211" s="33"/>
      <c r="D211" s="34"/>
      <c r="E211" s="35"/>
      <c r="F211" s="35"/>
      <c r="G211" s="36" t="str">
        <f t="shared" si="1"/>
        <v/>
      </c>
      <c r="H211" s="30" t="str">
        <f t="shared" si="2"/>
        <v/>
      </c>
      <c r="I211" s="37" t="str">
        <f t="shared" si="3"/>
        <v/>
      </c>
    </row>
    <row r="212" ht="18.75" customHeight="1">
      <c r="A212" s="38"/>
      <c r="B212" s="39"/>
      <c r="C212" s="39"/>
      <c r="D212" s="40"/>
      <c r="E212" s="41"/>
      <c r="F212" s="41"/>
      <c r="G212" s="36" t="str">
        <f t="shared" si="1"/>
        <v/>
      </c>
      <c r="H212" s="30" t="str">
        <f t="shared" si="2"/>
        <v/>
      </c>
      <c r="I212" s="37" t="str">
        <f t="shared" si="3"/>
        <v/>
      </c>
    </row>
    <row r="213" ht="18.75" customHeight="1">
      <c r="A213" s="32"/>
      <c r="B213" s="33"/>
      <c r="C213" s="33"/>
      <c r="D213" s="34"/>
      <c r="E213" s="35"/>
      <c r="F213" s="35"/>
      <c r="G213" s="36" t="str">
        <f t="shared" si="1"/>
        <v/>
      </c>
      <c r="H213" s="30" t="str">
        <f t="shared" si="2"/>
        <v/>
      </c>
      <c r="I213" s="37" t="str">
        <f t="shared" si="3"/>
        <v/>
      </c>
    </row>
    <row r="214" ht="18.75" customHeight="1">
      <c r="A214" s="38"/>
      <c r="B214" s="39"/>
      <c r="C214" s="39"/>
      <c r="D214" s="40"/>
      <c r="E214" s="41"/>
      <c r="F214" s="41"/>
      <c r="G214" s="36" t="str">
        <f t="shared" si="1"/>
        <v/>
      </c>
      <c r="H214" s="30" t="str">
        <f t="shared" si="2"/>
        <v/>
      </c>
      <c r="I214" s="37" t="str">
        <f t="shared" si="3"/>
        <v/>
      </c>
    </row>
    <row r="215" ht="18.75" customHeight="1">
      <c r="A215" s="32"/>
      <c r="B215" s="33"/>
      <c r="C215" s="33"/>
      <c r="D215" s="34"/>
      <c r="E215" s="35"/>
      <c r="F215" s="35"/>
      <c r="G215" s="36" t="str">
        <f t="shared" si="1"/>
        <v/>
      </c>
      <c r="H215" s="30" t="str">
        <f t="shared" si="2"/>
        <v/>
      </c>
      <c r="I215" s="37" t="str">
        <f t="shared" si="3"/>
        <v/>
      </c>
    </row>
    <row r="216" ht="18.75" customHeight="1">
      <c r="A216" s="38"/>
      <c r="B216" s="39"/>
      <c r="C216" s="39"/>
      <c r="D216" s="40"/>
      <c r="E216" s="41"/>
      <c r="F216" s="41"/>
      <c r="G216" s="36" t="str">
        <f t="shared" si="1"/>
        <v/>
      </c>
      <c r="H216" s="30" t="str">
        <f t="shared" si="2"/>
        <v/>
      </c>
      <c r="I216" s="37" t="str">
        <f t="shared" si="3"/>
        <v/>
      </c>
    </row>
    <row r="217" ht="18.75" customHeight="1">
      <c r="A217" s="32"/>
      <c r="B217" s="33"/>
      <c r="C217" s="33"/>
      <c r="D217" s="34"/>
      <c r="E217" s="35"/>
      <c r="F217" s="35"/>
      <c r="G217" s="36" t="str">
        <f t="shared" si="1"/>
        <v/>
      </c>
      <c r="H217" s="30" t="str">
        <f t="shared" si="2"/>
        <v/>
      </c>
      <c r="I217" s="37" t="str">
        <f t="shared" si="3"/>
        <v/>
      </c>
    </row>
    <row r="218" ht="18.75" customHeight="1">
      <c r="A218" s="38"/>
      <c r="B218" s="39"/>
      <c r="C218" s="39"/>
      <c r="D218" s="40"/>
      <c r="E218" s="41"/>
      <c r="F218" s="41"/>
      <c r="G218" s="36" t="str">
        <f t="shared" si="1"/>
        <v/>
      </c>
      <c r="H218" s="30" t="str">
        <f t="shared" si="2"/>
        <v/>
      </c>
      <c r="I218" s="37" t="str">
        <f t="shared" si="3"/>
        <v/>
      </c>
    </row>
    <row r="219" ht="18.75" customHeight="1">
      <c r="A219" s="32"/>
      <c r="B219" s="33"/>
      <c r="C219" s="33"/>
      <c r="D219" s="34"/>
      <c r="E219" s="35"/>
      <c r="F219" s="35"/>
      <c r="G219" s="36" t="str">
        <f t="shared" si="1"/>
        <v/>
      </c>
      <c r="H219" s="30" t="str">
        <f t="shared" si="2"/>
        <v/>
      </c>
      <c r="I219" s="37" t="str">
        <f t="shared" si="3"/>
        <v/>
      </c>
    </row>
    <row r="220" ht="18.75" customHeight="1">
      <c r="A220" s="38"/>
      <c r="B220" s="39"/>
      <c r="C220" s="39"/>
      <c r="D220" s="40"/>
      <c r="E220" s="41"/>
      <c r="F220" s="41"/>
      <c r="G220" s="36" t="str">
        <f t="shared" si="1"/>
        <v/>
      </c>
      <c r="H220" s="30" t="str">
        <f t="shared" si="2"/>
        <v/>
      </c>
      <c r="I220" s="37" t="str">
        <f t="shared" si="3"/>
        <v/>
      </c>
    </row>
    <row r="221" ht="18.75" customHeight="1">
      <c r="A221" s="32"/>
      <c r="B221" s="33"/>
      <c r="C221" s="33"/>
      <c r="D221" s="34"/>
      <c r="E221" s="35"/>
      <c r="F221" s="35"/>
      <c r="G221" s="36" t="str">
        <f t="shared" si="1"/>
        <v/>
      </c>
      <c r="H221" s="30" t="str">
        <f t="shared" si="2"/>
        <v/>
      </c>
      <c r="I221" s="37" t="str">
        <f t="shared" si="3"/>
        <v/>
      </c>
    </row>
    <row r="222" ht="18.75" customHeight="1">
      <c r="A222" s="38"/>
      <c r="B222" s="39"/>
      <c r="C222" s="39"/>
      <c r="D222" s="40"/>
      <c r="E222" s="41"/>
      <c r="F222" s="41"/>
      <c r="G222" s="36" t="str">
        <f t="shared" si="1"/>
        <v/>
      </c>
      <c r="H222" s="30" t="str">
        <f t="shared" si="2"/>
        <v/>
      </c>
      <c r="I222" s="37" t="str">
        <f t="shared" si="3"/>
        <v/>
      </c>
    </row>
    <row r="223" ht="18.75" customHeight="1">
      <c r="A223" s="32"/>
      <c r="B223" s="33"/>
      <c r="C223" s="33"/>
      <c r="D223" s="34"/>
      <c r="E223" s="35"/>
      <c r="F223" s="35"/>
      <c r="G223" s="36" t="str">
        <f t="shared" si="1"/>
        <v/>
      </c>
      <c r="H223" s="30" t="str">
        <f t="shared" si="2"/>
        <v/>
      </c>
      <c r="I223" s="37" t="str">
        <f t="shared" si="3"/>
        <v/>
      </c>
    </row>
    <row r="224" ht="18.75" customHeight="1">
      <c r="A224" s="38"/>
      <c r="B224" s="39"/>
      <c r="C224" s="39"/>
      <c r="D224" s="40"/>
      <c r="E224" s="41"/>
      <c r="F224" s="41"/>
      <c r="G224" s="36" t="str">
        <f t="shared" si="1"/>
        <v/>
      </c>
      <c r="H224" s="30" t="str">
        <f t="shared" si="2"/>
        <v/>
      </c>
      <c r="I224" s="37" t="str">
        <f t="shared" si="3"/>
        <v/>
      </c>
    </row>
    <row r="225" ht="18.75" customHeight="1">
      <c r="A225" s="32"/>
      <c r="B225" s="33"/>
      <c r="C225" s="33"/>
      <c r="D225" s="34"/>
      <c r="E225" s="35"/>
      <c r="F225" s="35"/>
      <c r="G225" s="36" t="str">
        <f t="shared" si="1"/>
        <v/>
      </c>
      <c r="H225" s="30" t="str">
        <f t="shared" si="2"/>
        <v/>
      </c>
      <c r="I225" s="37" t="str">
        <f t="shared" si="3"/>
        <v/>
      </c>
    </row>
    <row r="226" ht="18.75" customHeight="1">
      <c r="A226" s="38"/>
      <c r="B226" s="39"/>
      <c r="C226" s="39"/>
      <c r="D226" s="40"/>
      <c r="E226" s="41"/>
      <c r="F226" s="41"/>
      <c r="G226" s="36" t="str">
        <f t="shared" si="1"/>
        <v/>
      </c>
      <c r="H226" s="30" t="str">
        <f t="shared" si="2"/>
        <v/>
      </c>
      <c r="I226" s="37" t="str">
        <f t="shared" si="3"/>
        <v/>
      </c>
    </row>
    <row r="227" ht="18.75" customHeight="1">
      <c r="A227" s="32"/>
      <c r="B227" s="33"/>
      <c r="C227" s="33"/>
      <c r="D227" s="34"/>
      <c r="E227" s="35"/>
      <c r="F227" s="35"/>
      <c r="G227" s="36" t="str">
        <f t="shared" si="1"/>
        <v/>
      </c>
      <c r="H227" s="30" t="str">
        <f t="shared" si="2"/>
        <v/>
      </c>
      <c r="I227" s="37" t="str">
        <f t="shared" si="3"/>
        <v/>
      </c>
    </row>
    <row r="228" ht="18.75" customHeight="1">
      <c r="A228" s="38"/>
      <c r="B228" s="39"/>
      <c r="C228" s="39"/>
      <c r="D228" s="40"/>
      <c r="E228" s="41"/>
      <c r="F228" s="41"/>
      <c r="G228" s="36" t="str">
        <f t="shared" si="1"/>
        <v/>
      </c>
      <c r="H228" s="30" t="str">
        <f t="shared" si="2"/>
        <v/>
      </c>
      <c r="I228" s="37" t="str">
        <f t="shared" si="3"/>
        <v/>
      </c>
    </row>
    <row r="229" ht="18.75" customHeight="1">
      <c r="A229" s="32"/>
      <c r="B229" s="33"/>
      <c r="C229" s="33"/>
      <c r="D229" s="34"/>
      <c r="E229" s="35"/>
      <c r="F229" s="35"/>
      <c r="G229" s="36" t="str">
        <f t="shared" si="1"/>
        <v/>
      </c>
      <c r="H229" s="30" t="str">
        <f t="shared" si="2"/>
        <v/>
      </c>
      <c r="I229" s="37" t="str">
        <f t="shared" si="3"/>
        <v/>
      </c>
    </row>
    <row r="230" ht="18.75" customHeight="1">
      <c r="A230" s="38"/>
      <c r="B230" s="39"/>
      <c r="C230" s="39"/>
      <c r="D230" s="40"/>
      <c r="E230" s="41"/>
      <c r="F230" s="41"/>
      <c r="G230" s="36" t="str">
        <f t="shared" si="1"/>
        <v/>
      </c>
      <c r="H230" s="30" t="str">
        <f t="shared" si="2"/>
        <v/>
      </c>
      <c r="I230" s="37" t="str">
        <f t="shared" si="3"/>
        <v/>
      </c>
    </row>
    <row r="231" ht="18.75" customHeight="1">
      <c r="A231" s="32"/>
      <c r="B231" s="33"/>
      <c r="C231" s="33"/>
      <c r="D231" s="34"/>
      <c r="E231" s="35"/>
      <c r="F231" s="35"/>
      <c r="G231" s="36" t="str">
        <f t="shared" si="1"/>
        <v/>
      </c>
      <c r="H231" s="30" t="str">
        <f t="shared" si="2"/>
        <v/>
      </c>
      <c r="I231" s="37" t="str">
        <f t="shared" si="3"/>
        <v/>
      </c>
    </row>
    <row r="232" ht="18.75" customHeight="1">
      <c r="A232" s="38"/>
      <c r="B232" s="39"/>
      <c r="C232" s="39"/>
      <c r="D232" s="40"/>
      <c r="E232" s="41"/>
      <c r="F232" s="41"/>
      <c r="G232" s="36" t="str">
        <f t="shared" si="1"/>
        <v/>
      </c>
      <c r="H232" s="30" t="str">
        <f t="shared" si="2"/>
        <v/>
      </c>
      <c r="I232" s="37" t="str">
        <f t="shared" si="3"/>
        <v/>
      </c>
    </row>
    <row r="233" ht="18.75" customHeight="1">
      <c r="A233" s="32"/>
      <c r="B233" s="33"/>
      <c r="C233" s="33"/>
      <c r="D233" s="34"/>
      <c r="E233" s="35"/>
      <c r="F233" s="35"/>
      <c r="G233" s="36" t="str">
        <f t="shared" si="1"/>
        <v/>
      </c>
      <c r="H233" s="30" t="str">
        <f t="shared" si="2"/>
        <v/>
      </c>
      <c r="I233" s="37" t="str">
        <f t="shared" si="3"/>
        <v/>
      </c>
    </row>
    <row r="234" ht="18.75" customHeight="1">
      <c r="A234" s="38"/>
      <c r="B234" s="39"/>
      <c r="C234" s="39"/>
      <c r="D234" s="40"/>
      <c r="E234" s="41"/>
      <c r="F234" s="41"/>
      <c r="G234" s="36" t="str">
        <f t="shared" si="1"/>
        <v/>
      </c>
      <c r="H234" s="30" t="str">
        <f t="shared" si="2"/>
        <v/>
      </c>
      <c r="I234" s="37" t="str">
        <f t="shared" si="3"/>
        <v/>
      </c>
    </row>
    <row r="235" ht="18.75" customHeight="1">
      <c r="A235" s="32"/>
      <c r="B235" s="33"/>
      <c r="C235" s="33"/>
      <c r="D235" s="34"/>
      <c r="E235" s="35"/>
      <c r="F235" s="35"/>
      <c r="G235" s="36" t="str">
        <f t="shared" si="1"/>
        <v/>
      </c>
      <c r="H235" s="30" t="str">
        <f t="shared" si="2"/>
        <v/>
      </c>
      <c r="I235" s="37" t="str">
        <f t="shared" si="3"/>
        <v/>
      </c>
    </row>
    <row r="236" ht="18.75" customHeight="1">
      <c r="A236" s="38"/>
      <c r="B236" s="39"/>
      <c r="C236" s="39"/>
      <c r="D236" s="40"/>
      <c r="E236" s="41"/>
      <c r="F236" s="41"/>
      <c r="G236" s="36" t="str">
        <f t="shared" si="1"/>
        <v/>
      </c>
      <c r="H236" s="30" t="str">
        <f t="shared" si="2"/>
        <v/>
      </c>
      <c r="I236" s="37" t="str">
        <f t="shared" si="3"/>
        <v/>
      </c>
    </row>
    <row r="237" ht="18.75" customHeight="1">
      <c r="A237" s="32"/>
      <c r="B237" s="33"/>
      <c r="C237" s="33"/>
      <c r="D237" s="34"/>
      <c r="E237" s="35"/>
      <c r="F237" s="35"/>
      <c r="G237" s="36" t="str">
        <f t="shared" si="1"/>
        <v/>
      </c>
      <c r="H237" s="30" t="str">
        <f t="shared" si="2"/>
        <v/>
      </c>
      <c r="I237" s="37" t="str">
        <f t="shared" si="3"/>
        <v/>
      </c>
    </row>
    <row r="238" ht="18.75" customHeight="1">
      <c r="A238" s="38"/>
      <c r="B238" s="39"/>
      <c r="C238" s="39"/>
      <c r="D238" s="40"/>
      <c r="E238" s="41"/>
      <c r="F238" s="41"/>
      <c r="G238" s="36" t="str">
        <f t="shared" si="1"/>
        <v/>
      </c>
      <c r="H238" s="30" t="str">
        <f t="shared" si="2"/>
        <v/>
      </c>
      <c r="I238" s="37" t="str">
        <f t="shared" si="3"/>
        <v/>
      </c>
    </row>
    <row r="239" ht="18.75" customHeight="1">
      <c r="A239" s="32"/>
      <c r="B239" s="33"/>
      <c r="C239" s="33"/>
      <c r="D239" s="34"/>
      <c r="E239" s="35"/>
      <c r="F239" s="35"/>
      <c r="G239" s="36" t="str">
        <f t="shared" si="1"/>
        <v/>
      </c>
      <c r="H239" s="30" t="str">
        <f t="shared" si="2"/>
        <v/>
      </c>
      <c r="I239" s="37" t="str">
        <f t="shared" si="3"/>
        <v/>
      </c>
    </row>
    <row r="240" ht="18.75" customHeight="1">
      <c r="A240" s="38"/>
      <c r="B240" s="39"/>
      <c r="C240" s="39"/>
      <c r="D240" s="40"/>
      <c r="E240" s="41"/>
      <c r="F240" s="41"/>
      <c r="G240" s="36" t="str">
        <f t="shared" si="1"/>
        <v/>
      </c>
      <c r="H240" s="30" t="str">
        <f t="shared" si="2"/>
        <v/>
      </c>
      <c r="I240" s="37" t="str">
        <f t="shared" si="3"/>
        <v/>
      </c>
    </row>
    <row r="241" ht="18.75" customHeight="1">
      <c r="A241" s="32"/>
      <c r="B241" s="33"/>
      <c r="C241" s="33"/>
      <c r="D241" s="34"/>
      <c r="E241" s="35"/>
      <c r="F241" s="35"/>
      <c r="G241" s="36" t="str">
        <f t="shared" si="1"/>
        <v/>
      </c>
      <c r="H241" s="30" t="str">
        <f t="shared" si="2"/>
        <v/>
      </c>
      <c r="I241" s="37" t="str">
        <f t="shared" si="3"/>
        <v/>
      </c>
    </row>
    <row r="242" ht="18.75" customHeight="1">
      <c r="A242" s="38"/>
      <c r="B242" s="39"/>
      <c r="C242" s="39"/>
      <c r="D242" s="40"/>
      <c r="E242" s="41"/>
      <c r="F242" s="41"/>
      <c r="G242" s="36" t="str">
        <f t="shared" si="1"/>
        <v/>
      </c>
      <c r="H242" s="30" t="str">
        <f t="shared" si="2"/>
        <v/>
      </c>
      <c r="I242" s="37" t="str">
        <f t="shared" si="3"/>
        <v/>
      </c>
    </row>
    <row r="243" ht="18.75" customHeight="1">
      <c r="A243" s="32"/>
      <c r="B243" s="33"/>
      <c r="C243" s="33"/>
      <c r="D243" s="34"/>
      <c r="E243" s="35"/>
      <c r="F243" s="35"/>
      <c r="G243" s="36" t="str">
        <f t="shared" si="1"/>
        <v/>
      </c>
      <c r="H243" s="30" t="str">
        <f t="shared" si="2"/>
        <v/>
      </c>
      <c r="I243" s="37" t="str">
        <f t="shared" si="3"/>
        <v/>
      </c>
    </row>
    <row r="244" ht="18.75" customHeight="1">
      <c r="A244" s="38"/>
      <c r="B244" s="39"/>
      <c r="C244" s="39"/>
      <c r="D244" s="40"/>
      <c r="E244" s="41"/>
      <c r="F244" s="41"/>
      <c r="G244" s="36" t="str">
        <f t="shared" si="1"/>
        <v/>
      </c>
      <c r="H244" s="30" t="str">
        <f t="shared" si="2"/>
        <v/>
      </c>
      <c r="I244" s="37" t="str">
        <f t="shared" si="3"/>
        <v/>
      </c>
    </row>
    <row r="245" ht="18.75" customHeight="1">
      <c r="A245" s="32"/>
      <c r="B245" s="33"/>
      <c r="C245" s="33"/>
      <c r="D245" s="34"/>
      <c r="E245" s="35"/>
      <c r="F245" s="35"/>
      <c r="G245" s="36" t="str">
        <f t="shared" si="1"/>
        <v/>
      </c>
      <c r="H245" s="30" t="str">
        <f t="shared" si="2"/>
        <v/>
      </c>
      <c r="I245" s="37" t="str">
        <f t="shared" si="3"/>
        <v/>
      </c>
    </row>
    <row r="246" ht="18.75" customHeight="1">
      <c r="A246" s="38"/>
      <c r="B246" s="39"/>
      <c r="C246" s="39"/>
      <c r="D246" s="40"/>
      <c r="E246" s="41"/>
      <c r="F246" s="41"/>
      <c r="G246" s="36" t="str">
        <f t="shared" si="1"/>
        <v/>
      </c>
      <c r="H246" s="30" t="str">
        <f t="shared" si="2"/>
        <v/>
      </c>
      <c r="I246" s="37" t="str">
        <f t="shared" si="3"/>
        <v/>
      </c>
    </row>
    <row r="247" ht="18.75" customHeight="1">
      <c r="A247" s="32"/>
      <c r="B247" s="33"/>
      <c r="C247" s="33"/>
      <c r="D247" s="34"/>
      <c r="E247" s="35"/>
      <c r="F247" s="35"/>
      <c r="G247" s="36" t="str">
        <f t="shared" si="1"/>
        <v/>
      </c>
      <c r="H247" s="30" t="str">
        <f t="shared" si="2"/>
        <v/>
      </c>
      <c r="I247" s="37" t="str">
        <f t="shared" si="3"/>
        <v/>
      </c>
    </row>
    <row r="248" ht="18.75" customHeight="1">
      <c r="A248" s="38"/>
      <c r="B248" s="39"/>
      <c r="C248" s="39"/>
      <c r="D248" s="40"/>
      <c r="E248" s="41"/>
      <c r="F248" s="41"/>
      <c r="G248" s="36" t="str">
        <f t="shared" si="1"/>
        <v/>
      </c>
      <c r="H248" s="30" t="str">
        <f t="shared" si="2"/>
        <v/>
      </c>
      <c r="I248" s="37" t="str">
        <f t="shared" si="3"/>
        <v/>
      </c>
    </row>
    <row r="249" ht="18.75" customHeight="1">
      <c r="A249" s="32"/>
      <c r="B249" s="33"/>
      <c r="C249" s="33"/>
      <c r="D249" s="34"/>
      <c r="E249" s="35"/>
      <c r="F249" s="35"/>
      <c r="G249" s="36" t="str">
        <f t="shared" si="1"/>
        <v/>
      </c>
      <c r="H249" s="30" t="str">
        <f t="shared" si="2"/>
        <v/>
      </c>
      <c r="I249" s="37" t="str">
        <f t="shared" si="3"/>
        <v/>
      </c>
    </row>
    <row r="250" ht="18.75" customHeight="1">
      <c r="A250" s="38"/>
      <c r="B250" s="39"/>
      <c r="C250" s="39"/>
      <c r="D250" s="40"/>
      <c r="E250" s="41"/>
      <c r="F250" s="41"/>
      <c r="G250" s="36" t="str">
        <f t="shared" si="1"/>
        <v/>
      </c>
      <c r="H250" s="30" t="str">
        <f t="shared" si="2"/>
        <v/>
      </c>
      <c r="I250" s="37" t="str">
        <f t="shared" si="3"/>
        <v/>
      </c>
    </row>
    <row r="251" ht="18.75" customHeight="1">
      <c r="A251" s="32"/>
      <c r="B251" s="33"/>
      <c r="C251" s="33"/>
      <c r="D251" s="34"/>
      <c r="E251" s="35"/>
      <c r="F251" s="35"/>
      <c r="G251" s="36" t="str">
        <f t="shared" si="1"/>
        <v/>
      </c>
      <c r="H251" s="30" t="str">
        <f t="shared" si="2"/>
        <v/>
      </c>
      <c r="I251" s="37" t="str">
        <f t="shared" si="3"/>
        <v/>
      </c>
    </row>
    <row r="252" ht="18.75" customHeight="1">
      <c r="A252" s="38"/>
      <c r="B252" s="39"/>
      <c r="C252" s="39"/>
      <c r="D252" s="40"/>
      <c r="E252" s="41"/>
      <c r="F252" s="41"/>
      <c r="G252" s="36" t="str">
        <f t="shared" si="1"/>
        <v/>
      </c>
      <c r="H252" s="30" t="str">
        <f t="shared" si="2"/>
        <v/>
      </c>
      <c r="I252" s="37" t="str">
        <f t="shared" si="3"/>
        <v/>
      </c>
    </row>
    <row r="253" ht="18.75" customHeight="1">
      <c r="A253" s="32"/>
      <c r="B253" s="33"/>
      <c r="C253" s="33"/>
      <c r="D253" s="34"/>
      <c r="E253" s="35"/>
      <c r="F253" s="35"/>
      <c r="G253" s="36" t="str">
        <f t="shared" si="1"/>
        <v/>
      </c>
      <c r="H253" s="30" t="str">
        <f t="shared" si="2"/>
        <v/>
      </c>
      <c r="I253" s="37" t="str">
        <f t="shared" si="3"/>
        <v/>
      </c>
    </row>
    <row r="254" ht="18.75" customHeight="1">
      <c r="A254" s="38"/>
      <c r="B254" s="39"/>
      <c r="C254" s="39"/>
      <c r="D254" s="40"/>
      <c r="E254" s="41"/>
      <c r="F254" s="41"/>
      <c r="G254" s="36" t="str">
        <f t="shared" si="1"/>
        <v/>
      </c>
      <c r="H254" s="30" t="str">
        <f t="shared" si="2"/>
        <v/>
      </c>
      <c r="I254" s="37" t="str">
        <f t="shared" si="3"/>
        <v/>
      </c>
    </row>
    <row r="255" ht="18.75" customHeight="1">
      <c r="A255" s="32"/>
      <c r="B255" s="33"/>
      <c r="C255" s="33"/>
      <c r="D255" s="34"/>
      <c r="E255" s="35"/>
      <c r="F255" s="35"/>
      <c r="G255" s="36" t="str">
        <f t="shared" si="1"/>
        <v/>
      </c>
      <c r="H255" s="30" t="str">
        <f t="shared" si="2"/>
        <v/>
      </c>
      <c r="I255" s="37" t="str">
        <f t="shared" si="3"/>
        <v/>
      </c>
    </row>
    <row r="256" ht="18.75" customHeight="1">
      <c r="A256" s="38"/>
      <c r="B256" s="39"/>
      <c r="C256" s="39"/>
      <c r="D256" s="40"/>
      <c r="E256" s="41"/>
      <c r="F256" s="41"/>
      <c r="G256" s="36" t="str">
        <f t="shared" si="1"/>
        <v/>
      </c>
      <c r="H256" s="30" t="str">
        <f t="shared" si="2"/>
        <v/>
      </c>
      <c r="I256" s="37" t="str">
        <f t="shared" si="3"/>
        <v/>
      </c>
    </row>
    <row r="257" ht="18.75" customHeight="1">
      <c r="A257" s="32"/>
      <c r="B257" s="33"/>
      <c r="C257" s="33"/>
      <c r="D257" s="34"/>
      <c r="E257" s="35"/>
      <c r="F257" s="35"/>
      <c r="G257" s="36" t="str">
        <f t="shared" si="1"/>
        <v/>
      </c>
      <c r="H257" s="30" t="str">
        <f t="shared" si="2"/>
        <v/>
      </c>
      <c r="I257" s="37" t="str">
        <f t="shared" si="3"/>
        <v/>
      </c>
    </row>
    <row r="258" ht="18.75" customHeight="1">
      <c r="A258" s="38"/>
      <c r="B258" s="39"/>
      <c r="C258" s="39"/>
      <c r="D258" s="40"/>
      <c r="E258" s="41"/>
      <c r="F258" s="41"/>
      <c r="G258" s="36" t="str">
        <f t="shared" si="1"/>
        <v/>
      </c>
      <c r="H258" s="30" t="str">
        <f t="shared" si="2"/>
        <v/>
      </c>
      <c r="I258" s="37" t="str">
        <f t="shared" si="3"/>
        <v/>
      </c>
    </row>
    <row r="259" ht="18.75" customHeight="1">
      <c r="A259" s="32"/>
      <c r="B259" s="33"/>
      <c r="C259" s="33"/>
      <c r="D259" s="34"/>
      <c r="E259" s="35"/>
      <c r="F259" s="35"/>
      <c r="G259" s="36" t="str">
        <f t="shared" si="1"/>
        <v/>
      </c>
      <c r="H259" s="30" t="str">
        <f t="shared" si="2"/>
        <v/>
      </c>
      <c r="I259" s="37" t="str">
        <f t="shared" si="3"/>
        <v/>
      </c>
    </row>
    <row r="260" ht="18.75" customHeight="1">
      <c r="A260" s="38"/>
      <c r="B260" s="39"/>
      <c r="C260" s="39"/>
      <c r="D260" s="40"/>
      <c r="E260" s="41"/>
      <c r="F260" s="41"/>
      <c r="G260" s="36" t="str">
        <f t="shared" si="1"/>
        <v/>
      </c>
      <c r="H260" s="30" t="str">
        <f t="shared" si="2"/>
        <v/>
      </c>
      <c r="I260" s="37" t="str">
        <f t="shared" si="3"/>
        <v/>
      </c>
    </row>
    <row r="261" ht="18.75" customHeight="1">
      <c r="A261" s="32"/>
      <c r="B261" s="33"/>
      <c r="C261" s="33"/>
      <c r="D261" s="34"/>
      <c r="E261" s="35"/>
      <c r="F261" s="35"/>
      <c r="G261" s="36" t="str">
        <f t="shared" si="1"/>
        <v/>
      </c>
      <c r="H261" s="30" t="str">
        <f t="shared" si="2"/>
        <v/>
      </c>
      <c r="I261" s="37" t="str">
        <f t="shared" si="3"/>
        <v/>
      </c>
    </row>
    <row r="262" ht="18.75" customHeight="1">
      <c r="A262" s="38"/>
      <c r="B262" s="39"/>
      <c r="C262" s="39"/>
      <c r="D262" s="40"/>
      <c r="E262" s="41"/>
      <c r="F262" s="41"/>
      <c r="G262" s="36" t="str">
        <f t="shared" si="1"/>
        <v/>
      </c>
      <c r="H262" s="30" t="str">
        <f t="shared" si="2"/>
        <v/>
      </c>
      <c r="I262" s="37" t="str">
        <f t="shared" si="3"/>
        <v/>
      </c>
    </row>
    <row r="263" ht="18.75" customHeight="1">
      <c r="A263" s="32"/>
      <c r="B263" s="33"/>
      <c r="C263" s="33"/>
      <c r="D263" s="34"/>
      <c r="E263" s="35"/>
      <c r="F263" s="35"/>
      <c r="G263" s="36" t="str">
        <f t="shared" si="1"/>
        <v/>
      </c>
      <c r="H263" s="30" t="str">
        <f t="shared" si="2"/>
        <v/>
      </c>
      <c r="I263" s="37" t="str">
        <f t="shared" si="3"/>
        <v/>
      </c>
    </row>
    <row r="264" ht="18.75" customHeight="1">
      <c r="A264" s="38"/>
      <c r="B264" s="39"/>
      <c r="C264" s="39"/>
      <c r="D264" s="40"/>
      <c r="E264" s="41"/>
      <c r="F264" s="41"/>
      <c r="G264" s="36" t="str">
        <f t="shared" si="1"/>
        <v/>
      </c>
      <c r="H264" s="30" t="str">
        <f t="shared" si="2"/>
        <v/>
      </c>
      <c r="I264" s="37" t="str">
        <f t="shared" si="3"/>
        <v/>
      </c>
    </row>
    <row r="265" ht="18.75" customHeight="1">
      <c r="A265" s="32"/>
      <c r="B265" s="33"/>
      <c r="C265" s="33"/>
      <c r="D265" s="34"/>
      <c r="E265" s="35"/>
      <c r="F265" s="35"/>
      <c r="G265" s="36" t="str">
        <f t="shared" si="1"/>
        <v/>
      </c>
      <c r="H265" s="30" t="str">
        <f t="shared" si="2"/>
        <v/>
      </c>
      <c r="I265" s="37" t="str">
        <f t="shared" si="3"/>
        <v/>
      </c>
    </row>
    <row r="266" ht="18.75" customHeight="1">
      <c r="A266" s="38"/>
      <c r="B266" s="39"/>
      <c r="C266" s="39"/>
      <c r="D266" s="40"/>
      <c r="E266" s="41"/>
      <c r="F266" s="41"/>
      <c r="G266" s="36" t="str">
        <f t="shared" si="1"/>
        <v/>
      </c>
      <c r="H266" s="30" t="str">
        <f t="shared" si="2"/>
        <v/>
      </c>
      <c r="I266" s="37" t="str">
        <f t="shared" si="3"/>
        <v/>
      </c>
    </row>
    <row r="267" ht="18.75" customHeight="1">
      <c r="A267" s="32"/>
      <c r="B267" s="33"/>
      <c r="C267" s="33"/>
      <c r="D267" s="34"/>
      <c r="E267" s="35"/>
      <c r="F267" s="35"/>
      <c r="G267" s="36" t="str">
        <f t="shared" si="1"/>
        <v/>
      </c>
      <c r="H267" s="30" t="str">
        <f t="shared" si="2"/>
        <v/>
      </c>
      <c r="I267" s="37" t="str">
        <f t="shared" si="3"/>
        <v/>
      </c>
    </row>
    <row r="268" ht="18.75" customHeight="1">
      <c r="A268" s="38"/>
      <c r="B268" s="39"/>
      <c r="C268" s="39"/>
      <c r="D268" s="40"/>
      <c r="E268" s="41"/>
      <c r="F268" s="41"/>
      <c r="G268" s="36" t="str">
        <f t="shared" si="1"/>
        <v/>
      </c>
      <c r="H268" s="30" t="str">
        <f t="shared" si="2"/>
        <v/>
      </c>
      <c r="I268" s="37" t="str">
        <f t="shared" si="3"/>
        <v/>
      </c>
    </row>
    <row r="269" ht="18.75" customHeight="1">
      <c r="A269" s="32"/>
      <c r="B269" s="33"/>
      <c r="C269" s="33"/>
      <c r="D269" s="34"/>
      <c r="E269" s="35"/>
      <c r="F269" s="35"/>
      <c r="G269" s="36" t="str">
        <f t="shared" si="1"/>
        <v/>
      </c>
      <c r="H269" s="30" t="str">
        <f t="shared" si="2"/>
        <v/>
      </c>
      <c r="I269" s="37" t="str">
        <f t="shared" si="3"/>
        <v/>
      </c>
    </row>
    <row r="270" ht="18.75" customHeight="1">
      <c r="A270" s="38"/>
      <c r="B270" s="39"/>
      <c r="C270" s="39"/>
      <c r="D270" s="40"/>
      <c r="E270" s="41"/>
      <c r="F270" s="41"/>
      <c r="G270" s="36" t="str">
        <f t="shared" si="1"/>
        <v/>
      </c>
      <c r="H270" s="30" t="str">
        <f t="shared" si="2"/>
        <v/>
      </c>
      <c r="I270" s="37" t="str">
        <f t="shared" si="3"/>
        <v/>
      </c>
    </row>
    <row r="271" ht="18.75" customHeight="1">
      <c r="A271" s="32"/>
      <c r="B271" s="33"/>
      <c r="C271" s="33"/>
      <c r="D271" s="34"/>
      <c r="E271" s="35"/>
      <c r="F271" s="35"/>
      <c r="G271" s="36" t="str">
        <f t="shared" si="1"/>
        <v/>
      </c>
      <c r="H271" s="30" t="str">
        <f t="shared" si="2"/>
        <v/>
      </c>
      <c r="I271" s="37" t="str">
        <f t="shared" si="3"/>
        <v/>
      </c>
    </row>
    <row r="272" ht="18.75" customHeight="1">
      <c r="A272" s="38"/>
      <c r="B272" s="39"/>
      <c r="C272" s="39"/>
      <c r="D272" s="40"/>
      <c r="E272" s="41"/>
      <c r="F272" s="41"/>
      <c r="G272" s="36" t="str">
        <f t="shared" si="1"/>
        <v/>
      </c>
      <c r="H272" s="30" t="str">
        <f t="shared" si="2"/>
        <v/>
      </c>
      <c r="I272" s="37" t="str">
        <f t="shared" si="3"/>
        <v/>
      </c>
    </row>
    <row r="273" ht="18.75" customHeight="1">
      <c r="A273" s="32"/>
      <c r="B273" s="33"/>
      <c r="C273" s="33"/>
      <c r="D273" s="34"/>
      <c r="E273" s="35"/>
      <c r="F273" s="35"/>
      <c r="G273" s="36" t="str">
        <f t="shared" si="1"/>
        <v/>
      </c>
      <c r="H273" s="30" t="str">
        <f t="shared" si="2"/>
        <v/>
      </c>
      <c r="I273" s="37" t="str">
        <f t="shared" si="3"/>
        <v/>
      </c>
    </row>
    <row r="274" ht="18.75" customHeight="1">
      <c r="A274" s="38"/>
      <c r="B274" s="39"/>
      <c r="C274" s="39"/>
      <c r="D274" s="40"/>
      <c r="E274" s="41"/>
      <c r="F274" s="41"/>
      <c r="G274" s="36" t="str">
        <f t="shared" si="1"/>
        <v/>
      </c>
      <c r="H274" s="30" t="str">
        <f t="shared" si="2"/>
        <v/>
      </c>
      <c r="I274" s="37" t="str">
        <f t="shared" si="3"/>
        <v/>
      </c>
    </row>
    <row r="275" ht="18.75" customHeight="1">
      <c r="A275" s="32"/>
      <c r="B275" s="33"/>
      <c r="C275" s="33"/>
      <c r="D275" s="34"/>
      <c r="E275" s="35"/>
      <c r="F275" s="35"/>
      <c r="G275" s="36" t="str">
        <f t="shared" si="1"/>
        <v/>
      </c>
      <c r="H275" s="30" t="str">
        <f t="shared" si="2"/>
        <v/>
      </c>
      <c r="I275" s="37" t="str">
        <f t="shared" si="3"/>
        <v/>
      </c>
    </row>
    <row r="276" ht="18.75" customHeight="1">
      <c r="A276" s="38"/>
      <c r="B276" s="39"/>
      <c r="C276" s="39"/>
      <c r="D276" s="40"/>
      <c r="E276" s="41"/>
      <c r="F276" s="41"/>
      <c r="G276" s="36" t="str">
        <f t="shared" si="1"/>
        <v/>
      </c>
      <c r="H276" s="30" t="str">
        <f t="shared" si="2"/>
        <v/>
      </c>
      <c r="I276" s="37" t="str">
        <f t="shared" si="3"/>
        <v/>
      </c>
    </row>
    <row r="277" ht="18.75" customHeight="1">
      <c r="A277" s="32"/>
      <c r="B277" s="33"/>
      <c r="C277" s="33"/>
      <c r="D277" s="34"/>
      <c r="E277" s="35"/>
      <c r="F277" s="35"/>
      <c r="G277" s="36" t="str">
        <f t="shared" si="1"/>
        <v/>
      </c>
      <c r="H277" s="30" t="str">
        <f t="shared" si="2"/>
        <v/>
      </c>
      <c r="I277" s="37" t="str">
        <f t="shared" si="3"/>
        <v/>
      </c>
    </row>
    <row r="278" ht="18.75" customHeight="1">
      <c r="A278" s="38"/>
      <c r="B278" s="39"/>
      <c r="C278" s="39"/>
      <c r="D278" s="40"/>
      <c r="E278" s="41"/>
      <c r="F278" s="41"/>
      <c r="G278" s="36" t="str">
        <f t="shared" si="1"/>
        <v/>
      </c>
      <c r="H278" s="30" t="str">
        <f t="shared" si="2"/>
        <v/>
      </c>
      <c r="I278" s="37" t="str">
        <f t="shared" si="3"/>
        <v/>
      </c>
    </row>
    <row r="279" ht="18.75" customHeight="1">
      <c r="A279" s="32"/>
      <c r="B279" s="33"/>
      <c r="C279" s="33"/>
      <c r="D279" s="34"/>
      <c r="E279" s="35"/>
      <c r="F279" s="35"/>
      <c r="G279" s="36" t="str">
        <f t="shared" si="1"/>
        <v/>
      </c>
      <c r="H279" s="30" t="str">
        <f t="shared" si="2"/>
        <v/>
      </c>
      <c r="I279" s="37" t="str">
        <f t="shared" si="3"/>
        <v/>
      </c>
    </row>
    <row r="280" ht="18.75" customHeight="1">
      <c r="A280" s="38"/>
      <c r="B280" s="39"/>
      <c r="C280" s="39"/>
      <c r="D280" s="40"/>
      <c r="E280" s="41"/>
      <c r="F280" s="41"/>
      <c r="G280" s="36" t="str">
        <f t="shared" si="1"/>
        <v/>
      </c>
      <c r="H280" s="30" t="str">
        <f t="shared" si="2"/>
        <v/>
      </c>
      <c r="I280" s="37" t="str">
        <f t="shared" si="3"/>
        <v/>
      </c>
    </row>
    <row r="281" ht="18.75" customHeight="1">
      <c r="A281" s="32"/>
      <c r="B281" s="33"/>
      <c r="C281" s="33"/>
      <c r="D281" s="34"/>
      <c r="E281" s="35"/>
      <c r="F281" s="35"/>
      <c r="G281" s="36" t="str">
        <f t="shared" si="1"/>
        <v/>
      </c>
      <c r="H281" s="30" t="str">
        <f t="shared" si="2"/>
        <v/>
      </c>
      <c r="I281" s="37" t="str">
        <f t="shared" si="3"/>
        <v/>
      </c>
    </row>
    <row r="282" ht="18.75" customHeight="1">
      <c r="A282" s="38"/>
      <c r="B282" s="39"/>
      <c r="C282" s="39"/>
      <c r="D282" s="40"/>
      <c r="E282" s="41"/>
      <c r="F282" s="41"/>
      <c r="G282" s="36" t="str">
        <f t="shared" si="1"/>
        <v/>
      </c>
      <c r="H282" s="30" t="str">
        <f t="shared" si="2"/>
        <v/>
      </c>
      <c r="I282" s="37" t="str">
        <f t="shared" si="3"/>
        <v/>
      </c>
    </row>
    <row r="283" ht="18.75" customHeight="1">
      <c r="A283" s="32"/>
      <c r="B283" s="33"/>
      <c r="C283" s="33"/>
      <c r="D283" s="34"/>
      <c r="E283" s="35"/>
      <c r="F283" s="35"/>
      <c r="G283" s="36" t="str">
        <f t="shared" si="1"/>
        <v/>
      </c>
      <c r="H283" s="30" t="str">
        <f t="shared" si="2"/>
        <v/>
      </c>
      <c r="I283" s="37" t="str">
        <f t="shared" si="3"/>
        <v/>
      </c>
    </row>
    <row r="284" ht="18.75" customHeight="1">
      <c r="A284" s="38"/>
      <c r="B284" s="39"/>
      <c r="C284" s="39"/>
      <c r="D284" s="40"/>
      <c r="E284" s="41"/>
      <c r="F284" s="41"/>
      <c r="G284" s="36" t="str">
        <f t="shared" si="1"/>
        <v/>
      </c>
      <c r="H284" s="30" t="str">
        <f t="shared" si="2"/>
        <v/>
      </c>
      <c r="I284" s="37" t="str">
        <f t="shared" si="3"/>
        <v/>
      </c>
    </row>
    <row r="285" ht="18.75" customHeight="1">
      <c r="A285" s="32"/>
      <c r="B285" s="33"/>
      <c r="C285" s="33"/>
      <c r="D285" s="34"/>
      <c r="E285" s="35"/>
      <c r="F285" s="35"/>
      <c r="G285" s="36" t="str">
        <f t="shared" si="1"/>
        <v/>
      </c>
      <c r="H285" s="30" t="str">
        <f t="shared" si="2"/>
        <v/>
      </c>
      <c r="I285" s="37" t="str">
        <f t="shared" si="3"/>
        <v/>
      </c>
    </row>
    <row r="286" ht="18.75" customHeight="1">
      <c r="A286" s="38"/>
      <c r="B286" s="39"/>
      <c r="C286" s="39"/>
      <c r="D286" s="40"/>
      <c r="E286" s="41"/>
      <c r="F286" s="41"/>
      <c r="G286" s="36" t="str">
        <f t="shared" si="1"/>
        <v/>
      </c>
      <c r="H286" s="30" t="str">
        <f t="shared" si="2"/>
        <v/>
      </c>
      <c r="I286" s="37" t="str">
        <f t="shared" si="3"/>
        <v/>
      </c>
    </row>
    <row r="287" ht="18.75" customHeight="1">
      <c r="A287" s="32"/>
      <c r="B287" s="33"/>
      <c r="C287" s="33"/>
      <c r="D287" s="34"/>
      <c r="E287" s="35"/>
      <c r="F287" s="35"/>
      <c r="G287" s="36" t="str">
        <f t="shared" si="1"/>
        <v/>
      </c>
      <c r="H287" s="30" t="str">
        <f t="shared" si="2"/>
        <v/>
      </c>
      <c r="I287" s="37" t="str">
        <f t="shared" si="3"/>
        <v/>
      </c>
    </row>
    <row r="288" ht="18.75" customHeight="1">
      <c r="A288" s="38"/>
      <c r="B288" s="39"/>
      <c r="C288" s="39"/>
      <c r="D288" s="40"/>
      <c r="E288" s="41"/>
      <c r="F288" s="41"/>
      <c r="G288" s="36" t="str">
        <f t="shared" si="1"/>
        <v/>
      </c>
      <c r="H288" s="30" t="str">
        <f t="shared" si="2"/>
        <v/>
      </c>
      <c r="I288" s="37" t="str">
        <f t="shared" si="3"/>
        <v/>
      </c>
    </row>
    <row r="289" ht="18.75" customHeight="1">
      <c r="A289" s="32"/>
      <c r="B289" s="33"/>
      <c r="C289" s="33"/>
      <c r="D289" s="34"/>
      <c r="E289" s="35"/>
      <c r="F289" s="35"/>
      <c r="G289" s="36" t="str">
        <f t="shared" si="1"/>
        <v/>
      </c>
      <c r="H289" s="30" t="str">
        <f t="shared" si="2"/>
        <v/>
      </c>
      <c r="I289" s="37" t="str">
        <f t="shared" si="3"/>
        <v/>
      </c>
    </row>
    <row r="290" ht="18.75" customHeight="1">
      <c r="A290" s="38"/>
      <c r="B290" s="39"/>
      <c r="C290" s="39"/>
      <c r="D290" s="40"/>
      <c r="E290" s="41"/>
      <c r="F290" s="41"/>
      <c r="G290" s="36" t="str">
        <f t="shared" si="1"/>
        <v/>
      </c>
      <c r="H290" s="30" t="str">
        <f t="shared" si="2"/>
        <v/>
      </c>
      <c r="I290" s="37" t="str">
        <f t="shared" si="3"/>
        <v/>
      </c>
    </row>
    <row r="291" ht="18.75" customHeight="1">
      <c r="A291" s="32"/>
      <c r="B291" s="33"/>
      <c r="C291" s="33"/>
      <c r="D291" s="34"/>
      <c r="E291" s="35"/>
      <c r="F291" s="35"/>
      <c r="G291" s="36" t="str">
        <f t="shared" si="1"/>
        <v/>
      </c>
      <c r="H291" s="30" t="str">
        <f t="shared" si="2"/>
        <v/>
      </c>
      <c r="I291" s="37" t="str">
        <f t="shared" si="3"/>
        <v/>
      </c>
    </row>
    <row r="292" ht="18.75" customHeight="1">
      <c r="A292" s="38"/>
      <c r="B292" s="39"/>
      <c r="C292" s="39"/>
      <c r="D292" s="40"/>
      <c r="E292" s="41"/>
      <c r="F292" s="41"/>
      <c r="G292" s="36" t="str">
        <f t="shared" si="1"/>
        <v/>
      </c>
      <c r="H292" s="30" t="str">
        <f t="shared" si="2"/>
        <v/>
      </c>
      <c r="I292" s="37" t="str">
        <f t="shared" si="3"/>
        <v/>
      </c>
    </row>
    <row r="293" ht="18.75" customHeight="1">
      <c r="A293" s="32"/>
      <c r="B293" s="33"/>
      <c r="C293" s="33"/>
      <c r="D293" s="34"/>
      <c r="E293" s="35"/>
      <c r="F293" s="35"/>
      <c r="G293" s="36" t="str">
        <f t="shared" si="1"/>
        <v/>
      </c>
      <c r="H293" s="30" t="str">
        <f t="shared" si="2"/>
        <v/>
      </c>
      <c r="I293" s="37" t="str">
        <f t="shared" si="3"/>
        <v/>
      </c>
    </row>
    <row r="294" ht="18.75" customHeight="1">
      <c r="A294" s="38"/>
      <c r="B294" s="39"/>
      <c r="C294" s="39"/>
      <c r="D294" s="40"/>
      <c r="E294" s="41"/>
      <c r="F294" s="41"/>
      <c r="G294" s="36" t="str">
        <f t="shared" si="1"/>
        <v/>
      </c>
      <c r="H294" s="30" t="str">
        <f t="shared" si="2"/>
        <v/>
      </c>
      <c r="I294" s="37" t="str">
        <f t="shared" si="3"/>
        <v/>
      </c>
    </row>
    <row r="295" ht="18.75" customHeight="1">
      <c r="A295" s="32"/>
      <c r="B295" s="33"/>
      <c r="C295" s="33"/>
      <c r="D295" s="34"/>
      <c r="E295" s="35"/>
      <c r="F295" s="35"/>
      <c r="G295" s="36" t="str">
        <f t="shared" si="1"/>
        <v/>
      </c>
      <c r="H295" s="30" t="str">
        <f t="shared" si="2"/>
        <v/>
      </c>
      <c r="I295" s="37" t="str">
        <f t="shared" si="3"/>
        <v/>
      </c>
    </row>
    <row r="296" ht="18.75" customHeight="1">
      <c r="A296" s="38"/>
      <c r="B296" s="39"/>
      <c r="C296" s="39"/>
      <c r="D296" s="40"/>
      <c r="E296" s="41"/>
      <c r="F296" s="41"/>
      <c r="G296" s="36" t="str">
        <f t="shared" si="1"/>
        <v/>
      </c>
      <c r="H296" s="30" t="str">
        <f t="shared" si="2"/>
        <v/>
      </c>
      <c r="I296" s="37" t="str">
        <f t="shared" si="3"/>
        <v/>
      </c>
    </row>
    <row r="297" ht="18.75" customHeight="1">
      <c r="A297" s="32"/>
      <c r="B297" s="33"/>
      <c r="C297" s="33"/>
      <c r="D297" s="34"/>
      <c r="E297" s="35"/>
      <c r="F297" s="35"/>
      <c r="G297" s="36" t="str">
        <f t="shared" si="1"/>
        <v/>
      </c>
      <c r="H297" s="30" t="str">
        <f t="shared" si="2"/>
        <v/>
      </c>
      <c r="I297" s="37" t="str">
        <f t="shared" si="3"/>
        <v/>
      </c>
    </row>
    <row r="298" ht="18.75" customHeight="1">
      <c r="A298" s="38"/>
      <c r="B298" s="39"/>
      <c r="C298" s="39"/>
      <c r="D298" s="40"/>
      <c r="E298" s="41"/>
      <c r="F298" s="41"/>
      <c r="G298" s="36" t="str">
        <f t="shared" si="1"/>
        <v/>
      </c>
      <c r="H298" s="30" t="str">
        <f t="shared" si="2"/>
        <v/>
      </c>
      <c r="I298" s="37" t="str">
        <f t="shared" si="3"/>
        <v/>
      </c>
    </row>
    <row r="299" ht="18.75" customHeight="1">
      <c r="A299" s="32"/>
      <c r="B299" s="33"/>
      <c r="C299" s="33"/>
      <c r="D299" s="34"/>
      <c r="E299" s="35"/>
      <c r="F299" s="35"/>
      <c r="G299" s="36" t="str">
        <f t="shared" si="1"/>
        <v/>
      </c>
      <c r="H299" s="30" t="str">
        <f t="shared" si="2"/>
        <v/>
      </c>
      <c r="I299" s="37" t="str">
        <f t="shared" si="3"/>
        <v/>
      </c>
    </row>
    <row r="300" ht="18.75" customHeight="1">
      <c r="A300" s="38"/>
      <c r="B300" s="39"/>
      <c r="C300" s="39"/>
      <c r="D300" s="40"/>
      <c r="E300" s="41"/>
      <c r="F300" s="41"/>
      <c r="G300" s="36" t="str">
        <f t="shared" si="1"/>
        <v/>
      </c>
      <c r="H300" s="30" t="str">
        <f t="shared" si="2"/>
        <v/>
      </c>
      <c r="I300" s="37" t="str">
        <f t="shared" si="3"/>
        <v/>
      </c>
    </row>
    <row r="301" ht="18.75" customHeight="1">
      <c r="A301" s="32"/>
      <c r="B301" s="33"/>
      <c r="C301" s="33"/>
      <c r="D301" s="34"/>
      <c r="E301" s="35"/>
      <c r="F301" s="35"/>
      <c r="G301" s="36" t="str">
        <f t="shared" si="1"/>
        <v/>
      </c>
      <c r="H301" s="30" t="str">
        <f t="shared" si="2"/>
        <v/>
      </c>
      <c r="I301" s="37" t="str">
        <f t="shared" si="3"/>
        <v/>
      </c>
    </row>
    <row r="302" ht="18.75" customHeight="1">
      <c r="A302" s="38"/>
      <c r="B302" s="39"/>
      <c r="C302" s="39"/>
      <c r="D302" s="40"/>
      <c r="E302" s="41"/>
      <c r="F302" s="41"/>
      <c r="G302" s="36" t="str">
        <f t="shared" si="1"/>
        <v/>
      </c>
      <c r="H302" s="30" t="str">
        <f t="shared" si="2"/>
        <v/>
      </c>
      <c r="I302" s="37" t="str">
        <f t="shared" si="3"/>
        <v/>
      </c>
    </row>
    <row r="303" ht="18.75" customHeight="1">
      <c r="A303" s="32"/>
      <c r="B303" s="33"/>
      <c r="C303" s="33"/>
      <c r="D303" s="34"/>
      <c r="E303" s="35"/>
      <c r="F303" s="35"/>
      <c r="G303" s="36" t="str">
        <f t="shared" si="1"/>
        <v/>
      </c>
      <c r="H303" s="30" t="str">
        <f t="shared" si="2"/>
        <v/>
      </c>
      <c r="I303" s="37" t="str">
        <f t="shared" si="3"/>
        <v/>
      </c>
    </row>
    <row r="304" ht="18.75" customHeight="1">
      <c r="A304" s="38"/>
      <c r="B304" s="39"/>
      <c r="C304" s="39"/>
      <c r="D304" s="40"/>
      <c r="E304" s="41"/>
      <c r="F304" s="41"/>
      <c r="G304" s="36" t="str">
        <f t="shared" si="1"/>
        <v/>
      </c>
      <c r="H304" s="30" t="str">
        <f t="shared" si="2"/>
        <v/>
      </c>
      <c r="I304" s="37" t="str">
        <f t="shared" si="3"/>
        <v/>
      </c>
    </row>
    <row r="305" ht="15.75" customHeight="1"/>
    <row r="306" ht="24.0" customHeight="1">
      <c r="A306" s="42" t="s">
        <v>43</v>
      </c>
      <c r="B306" s="43"/>
      <c r="C306" s="43"/>
      <c r="D306" s="43"/>
      <c r="E306" s="43"/>
      <c r="F306" s="44"/>
      <c r="G306" s="45"/>
      <c r="H306" s="45"/>
      <c r="I306" s="45"/>
    </row>
    <row r="307" ht="25.5" customHeight="1">
      <c r="A307" s="46" t="s">
        <v>44</v>
      </c>
      <c r="B307" s="43"/>
      <c r="C307" s="43"/>
      <c r="D307" s="43"/>
      <c r="E307" s="43"/>
      <c r="F307" s="44"/>
      <c r="G307" s="47">
        <f>SUMIF(B5:B304,"INCOME",F5:F304)</f>
        <v>102400</v>
      </c>
      <c r="H307" s="43"/>
      <c r="I307" s="44"/>
    </row>
    <row r="308" ht="25.5" customHeight="1">
      <c r="A308" s="48" t="s">
        <v>45</v>
      </c>
      <c r="B308" s="43"/>
      <c r="C308" s="43"/>
      <c r="D308" s="43"/>
      <c r="E308" s="43"/>
      <c r="F308" s="44"/>
      <c r="G308" s="49">
        <f>SUMIF(B5:B304,"EXPENSE",F5:F304)</f>
        <v>72750</v>
      </c>
      <c r="H308" s="43"/>
      <c r="I308" s="44"/>
    </row>
    <row r="309" ht="25.5" customHeight="1">
      <c r="A309" s="50" t="s">
        <v>46</v>
      </c>
      <c r="B309" s="43"/>
      <c r="C309" s="43"/>
      <c r="D309" s="43"/>
      <c r="E309" s="43"/>
      <c r="F309" s="44"/>
      <c r="G309" s="51">
        <f>I307-I308</f>
        <v>0</v>
      </c>
      <c r="H309" s="43"/>
      <c r="I309" s="44"/>
    </row>
    <row r="310" ht="25.5" customHeight="1">
      <c r="A310" s="52" t="s">
        <v>47</v>
      </c>
      <c r="B310" s="43"/>
      <c r="C310" s="43"/>
      <c r="D310" s="43"/>
      <c r="E310" s="43"/>
      <c r="F310" s="44"/>
      <c r="G310" s="53">
        <f>SUMIF(B5:B304,"INCOME",G5:G304)</f>
        <v>42500</v>
      </c>
      <c r="H310" s="43"/>
      <c r="I310" s="44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09:F309"/>
    <mergeCell ref="G309:I309"/>
    <mergeCell ref="A310:F310"/>
    <mergeCell ref="G310:I310"/>
    <mergeCell ref="A1:I1"/>
    <mergeCell ref="A2:I2"/>
    <mergeCell ref="A306:F306"/>
    <mergeCell ref="A307:F307"/>
    <mergeCell ref="G307:I307"/>
    <mergeCell ref="A308:F308"/>
    <mergeCell ref="G308:I308"/>
  </mergeCells>
  <dataValidations>
    <dataValidation type="list" allowBlank="1" showDropDown="1" showErrorMessage="1" sqref="C5:C31">
      <formula1>"Rooms,Utilities,Supplies,Bar,Salaries"</formula1>
    </dataValidation>
    <dataValidation type="custom" allowBlank="1" showDropDown="1" sqref="A5:A31">
      <formula1>OR(NOT(ISERROR(DATEVALUE(A5))), AND(ISNUMBER(A5), LEFT(CELL("format", A5))="D"))</formula1>
    </dataValidation>
    <dataValidation type="custom" allowBlank="1" showDropDown="1" sqref="E5:G31 I5:I31">
      <formula1>AND(ISNUMBER(E5),(NOT(OR(NOT(ISERROR(DATEVALUE(E5))), AND(ISNUMBER(E5), LEFT(CELL("format", E5))="D")))))</formula1>
    </dataValidation>
    <dataValidation type="list" allowBlank="1" showDropDown="1" showErrorMessage="1" sqref="B5:B31">
      <formula1>"INCOME,EXPENSE"</formula1>
    </dataValidation>
    <dataValidation type="list" allowBlank="1" showDropDown="1" showErrorMessage="1" sqref="B32">
      <formula1>"INCOME,EXPENSE"</formula1>
    </dataValidation>
    <dataValidation type="list" allowBlank="1" showDropDown="1" showErrorMessage="1" sqref="C32">
      <formula1>"Rooms,Utilities,Supplies,Bar,Salaries"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6.0"/>
    <col customWidth="1" min="3" max="5" width="18.0"/>
    <col customWidth="1" min="6" max="6" width="16.0"/>
    <col customWidth="1" min="7" max="26" width="8.71"/>
  </cols>
  <sheetData>
    <row r="1" ht="36.0" customHeight="1">
      <c r="A1" s="54" t="s">
        <v>48</v>
      </c>
      <c r="B1" s="2"/>
      <c r="C1" s="2"/>
      <c r="D1" s="2"/>
      <c r="E1" s="2"/>
      <c r="F1" s="3"/>
    </row>
    <row r="2" ht="18.0" customHeight="1">
      <c r="A2" s="55" t="s">
        <v>49</v>
      </c>
      <c r="B2" s="2"/>
      <c r="C2" s="2"/>
      <c r="D2" s="2"/>
      <c r="E2" s="2"/>
      <c r="F2" s="3"/>
    </row>
    <row r="3" ht="7.5" customHeight="1"/>
    <row r="4" ht="30.0" customHeight="1">
      <c r="A4" s="56" t="s">
        <v>2</v>
      </c>
      <c r="B4" s="56" t="s">
        <v>5</v>
      </c>
      <c r="C4" s="56" t="s">
        <v>6</v>
      </c>
      <c r="D4" s="56" t="s">
        <v>7</v>
      </c>
      <c r="E4" s="56" t="s">
        <v>50</v>
      </c>
      <c r="F4" s="56" t="s">
        <v>51</v>
      </c>
    </row>
    <row r="5" ht="27.75" customHeight="1">
      <c r="A5" s="57" t="s">
        <v>52</v>
      </c>
      <c r="B5" s="2"/>
      <c r="C5" s="2"/>
      <c r="D5" s="2"/>
      <c r="E5" s="2"/>
      <c r="F5" s="3"/>
    </row>
    <row r="6" ht="19.5" customHeight="1">
      <c r="A6" s="32">
        <f t="array" ref="A6">IFERROR(INDEX('Daily Ledger'!$A$5:$A$304,IFERROR(SMALL(IF(('Daily Ledger'!$B$5:$B$304="INCOME")*('Daily Ledger'!$G$5:$G$304&gt;0),ROW('Daily Ledger'!$B$5:$B$304)-4),1),"")),"")</f>
        <v>46144</v>
      </c>
      <c r="B6" s="58" t="str">
        <f t="array" ref="B6">IFERROR(INDEX('Daily Ledger'!$D$5:$D$304,IFERROR(SMALL(IF(('Daily Ledger'!$B$5:$B$304="INCOME")*('Daily Ledger'!$G$5:$G$304&gt;0),ROW('Daily Ledger'!$B$5:$B$304)-4),1),"")),"")</f>
        <v>2 Malt 1 Fanta 2 bottle water(Jiro)</v>
      </c>
      <c r="C6" s="59">
        <f t="array" ref="C6">IFERROR(INDEX('Daily Ledger'!$E$5:$E$304,IFERROR(SMALL(IF(('Daily Ledger'!$B$5:$B$304="INCOME")*('Daily Ledger'!$G$5:$G$304&gt;0),ROW('Daily Ledger'!$B$5:$B$304)-4),1),"")),"")</f>
        <v>4500</v>
      </c>
      <c r="D6" s="59">
        <f t="array" ref="D6">IFERROR(INDEX('Daily Ledger'!$F$5:$F$304,IFERROR(SMALL(IF(('Daily Ledger'!$B$5:$B$304="INCOME")*('Daily Ledger'!$G$5:$G$304&gt;0),ROW('Daily Ledger'!$B$5:$B$304)-4),1),"")),"")</f>
        <v>0</v>
      </c>
      <c r="E6" s="60">
        <f t="array" ref="E6">IFERROR(INDEX('Daily Ledger'!$G$5:$G$304,IFERROR(SMALL(IF(('Daily Ledger'!$B$5:$B$304="INCOME")*('Daily Ledger'!$G$5:$G$304&gt;0),ROW('Daily Ledger'!$B$5:$B$304)-4),1),"")),"")</f>
        <v>4500</v>
      </c>
      <c r="F6" s="61" t="str">
        <f t="array" ref="F6">IFERROR(INDEX('Daily Ledger'!$H$5:$H$304,IFERROR(SMALL(IF(('Daily Ledger'!$B$5:$B$304="INCOME")*('Daily Ledger'!$G$5:$G$304&gt;0),ROW('Daily Ledger'!$B$5:$B$304)-4),1),"")),"")</f>
        <v>Not Paid</v>
      </c>
    </row>
    <row r="7" ht="19.5" customHeight="1">
      <c r="A7" s="38">
        <f t="array" ref="A7">IFERROR(INDEX('Daily Ledger'!$A$5:$A$304,IFERROR(SMALL(IF(('Daily Ledger'!$B$5:$B$304="INCOME")*('Daily Ledger'!$G$5:$G$304&gt;0),ROW('Daily Ledger'!$B$5:$B$304)-4),2),"")),"")</f>
        <v>46145</v>
      </c>
      <c r="B7" s="62" t="str">
        <f t="array" ref="B7">IFERROR(INDEX('Daily Ledger'!$D$5:$D$304,IFERROR(SMALL(IF(('Daily Ledger'!$B$5:$B$304="INCOME")*('Daily Ledger'!$G$5:$G$304&gt;0),ROW('Daily Ledger'!$B$5:$B$304)-4),2),"")),"")</f>
        <v>Lodge Customer 1 (Night) Room 1</v>
      </c>
      <c r="C7" s="63">
        <f t="array" ref="C7">IFERROR(INDEX('Daily Ledger'!$E$5:$E$304,IFERROR(SMALL(IF(('Daily Ledger'!$B$5:$B$304="INCOME")*('Daily Ledger'!$G$5:$G$304&gt;0),ROW('Daily Ledger'!$B$5:$B$304)-4),2),"")),"")</f>
        <v>15000</v>
      </c>
      <c r="D7" s="63">
        <f t="array" ref="D7">IFERROR(INDEX('Daily Ledger'!$F$5:$F$304,IFERROR(SMALL(IF(('Daily Ledger'!$B$5:$B$304="INCOME")*('Daily Ledger'!$G$5:$G$304&gt;0),ROW('Daily Ledger'!$B$5:$B$304)-4),2),"")),"")</f>
        <v>5000</v>
      </c>
      <c r="E7" s="60">
        <f t="array" ref="E7">IFERROR(INDEX('Daily Ledger'!$G$5:$G$304,IFERROR(SMALL(IF(('Daily Ledger'!$B$5:$B$304="INCOME")*('Daily Ledger'!$G$5:$G$304&gt;0),ROW('Daily Ledger'!$B$5:$B$304)-4),2),"")),"")</f>
        <v>10000</v>
      </c>
      <c r="F7" s="64" t="str">
        <f t="array" ref="F7">IFERROR(INDEX('Daily Ledger'!$H$5:$H$304,IFERROR(SMALL(IF(('Daily Ledger'!$B$5:$B$304="INCOME")*('Daily Ledger'!$G$5:$G$304&gt;0),ROW('Daily Ledger'!$B$5:$B$304)-4),2),"")),"")</f>
        <v>Part Payment</v>
      </c>
    </row>
    <row r="8" ht="19.5" customHeight="1">
      <c r="A8" s="32">
        <f t="array" ref="A8">IFERROR(INDEX('Daily Ledger'!$A$5:$A$304,IFERROR(SMALL(IF(('Daily Ledger'!$B$5:$B$304="INCOME")*('Daily Ledger'!$G$5:$G$304&gt;0),ROW('Daily Ledger'!$B$5:$B$304)-4),3),"")),"")</f>
        <v>46145</v>
      </c>
      <c r="B8" s="58" t="str">
        <f t="array" ref="B8">IFERROR(INDEX('Daily Ledger'!$D$5:$D$304,IFERROR(SMALL(IF(('Daily Ledger'!$B$5:$B$304="INCOME")*('Daily Ledger'!$G$5:$G$304&gt;0),ROW('Daily Ledger'!$B$5:$B$304)-4),3),"")),"")</f>
        <v>Lodge Jiro (Night) Room 2</v>
      </c>
      <c r="C8" s="59">
        <f t="array" ref="C8">IFERROR(INDEX('Daily Ledger'!$E$5:$E$304,IFERROR(SMALL(IF(('Daily Ledger'!$B$5:$B$304="INCOME")*('Daily Ledger'!$G$5:$G$304&gt;0),ROW('Daily Ledger'!$B$5:$B$304)-4),3),"")),"")</f>
        <v>15000</v>
      </c>
      <c r="D8" s="59">
        <f t="array" ref="D8">IFERROR(INDEX('Daily Ledger'!$F$5:$F$304,IFERROR(SMALL(IF(('Daily Ledger'!$B$5:$B$304="INCOME")*('Daily Ledger'!$G$5:$G$304&gt;0),ROW('Daily Ledger'!$B$5:$B$304)-4),3),"")),"")</f>
        <v>0</v>
      </c>
      <c r="E8" s="60">
        <f t="array" ref="E8">IFERROR(INDEX('Daily Ledger'!$G$5:$G$304,IFERROR(SMALL(IF(('Daily Ledger'!$B$5:$B$304="INCOME")*('Daily Ledger'!$G$5:$G$304&gt;0),ROW('Daily Ledger'!$B$5:$B$304)-4),3),"")),"")</f>
        <v>15000</v>
      </c>
      <c r="F8" s="61" t="str">
        <f t="array" ref="F8">IFERROR(INDEX('Daily Ledger'!$H$5:$H$304,IFERROR(SMALL(IF(('Daily Ledger'!$B$5:$B$304="INCOME")*('Daily Ledger'!$G$5:$G$304&gt;0),ROW('Daily Ledger'!$B$5:$B$304)-4),3),"")),"")</f>
        <v>Not Paid</v>
      </c>
    </row>
    <row r="9" ht="19.5" customHeight="1">
      <c r="A9" s="38">
        <f t="array" ref="A9">IFERROR(INDEX('Daily Ledger'!$A$5:$A$304,IFERROR(SMALL(IF(('Daily Ledger'!$B$5:$B$304="INCOME")*('Daily Ledger'!$G$5:$G$304&gt;0),ROW('Daily Ledger'!$B$5:$B$304)-4),4),"")),"")</f>
        <v>46145</v>
      </c>
      <c r="B9" s="62" t="str">
        <f t="array" ref="B9">IFERROR(INDEX('Daily Ledger'!$D$5:$D$304,IFERROR(SMALL(IF(('Daily Ledger'!$B$5:$B$304="INCOME")*('Daily Ledger'!$G$5:$G$304&gt;0),ROW('Daily Ledger'!$B$5:$B$304)-4),4),"")),"")</f>
        <v>Lodge Let Love Lead (Night) Room 4</v>
      </c>
      <c r="C9" s="63">
        <f t="array" ref="C9">IFERROR(INDEX('Daily Ledger'!$E$5:$E$304,IFERROR(SMALL(IF(('Daily Ledger'!$B$5:$B$304="INCOME")*('Daily Ledger'!$G$5:$G$304&gt;0),ROW('Daily Ledger'!$B$5:$B$304)-4),4),"")),"")</f>
        <v>8000</v>
      </c>
      <c r="D9" s="63">
        <f t="array" ref="D9">IFERROR(INDEX('Daily Ledger'!$F$5:$F$304,IFERROR(SMALL(IF(('Daily Ledger'!$B$5:$B$304="INCOME")*('Daily Ledger'!$G$5:$G$304&gt;0),ROW('Daily Ledger'!$B$5:$B$304)-4),4),"")),"")</f>
        <v>0</v>
      </c>
      <c r="E9" s="60">
        <f t="array" ref="E9">IFERROR(INDEX('Daily Ledger'!$G$5:$G$304,IFERROR(SMALL(IF(('Daily Ledger'!$B$5:$B$304="INCOME")*('Daily Ledger'!$G$5:$G$304&gt;0),ROW('Daily Ledger'!$B$5:$B$304)-4),4),"")),"")</f>
        <v>8000</v>
      </c>
      <c r="F9" s="64" t="str">
        <f t="array" ref="F9">IFERROR(INDEX('Daily Ledger'!$H$5:$H$304,IFERROR(SMALL(IF(('Daily Ledger'!$B$5:$B$304="INCOME")*('Daily Ledger'!$G$5:$G$304&gt;0),ROW('Daily Ledger'!$B$5:$B$304)-4),4),"")),"")</f>
        <v>Not Paid</v>
      </c>
    </row>
    <row r="10" ht="19.5" customHeight="1">
      <c r="A10" s="32">
        <f t="array" ref="A10">IFERROR(INDEX('Daily Ledger'!$A$5:$A$304,IFERROR(SMALL(IF(('Daily Ledger'!$B$5:$B$304="INCOME")*('Daily Ledger'!$G$5:$G$304&gt;0),ROW('Daily Ledger'!$B$5:$B$304)-4),5),"")),"")</f>
        <v>46145</v>
      </c>
      <c r="B10" s="58" t="str">
        <f t="array" ref="B10">IFERROR(INDEX('Daily Ledger'!$D$5:$D$304,IFERROR(SMALL(IF(('Daily Ledger'!$B$5:$B$304="INCOME")*('Daily Ledger'!$G$5:$G$304&gt;0),ROW('Daily Ledger'!$B$5:$B$304)-4),5),"")),"")</f>
        <v>Lodge Captain (Short) Room 5</v>
      </c>
      <c r="C10" s="59">
        <f t="array" ref="C10">IFERROR(INDEX('Daily Ledger'!$E$5:$E$304,IFERROR(SMALL(IF(('Daily Ledger'!$B$5:$B$304="INCOME")*('Daily Ledger'!$G$5:$G$304&gt;0),ROW('Daily Ledger'!$B$5:$B$304)-4),5),"")),"")</f>
        <v>5000</v>
      </c>
      <c r="D10" s="59">
        <f t="array" ref="D10">IFERROR(INDEX('Daily Ledger'!$F$5:$F$304,IFERROR(SMALL(IF(('Daily Ledger'!$B$5:$B$304="INCOME")*('Daily Ledger'!$G$5:$G$304&gt;0),ROW('Daily Ledger'!$B$5:$B$304)-4),5),"")),"")</f>
        <v>0</v>
      </c>
      <c r="E10" s="60">
        <f t="array" ref="E10">IFERROR(INDEX('Daily Ledger'!$G$5:$G$304,IFERROR(SMALL(IF(('Daily Ledger'!$B$5:$B$304="INCOME")*('Daily Ledger'!$G$5:$G$304&gt;0),ROW('Daily Ledger'!$B$5:$B$304)-4),5),"")),"")</f>
        <v>5000</v>
      </c>
      <c r="F10" s="61" t="str">
        <f t="array" ref="F10">IFERROR(INDEX('Daily Ledger'!$H$5:$H$304,IFERROR(SMALL(IF(('Daily Ledger'!$B$5:$B$304="INCOME")*('Daily Ledger'!$G$5:$G$304&gt;0),ROW('Daily Ledger'!$B$5:$B$304)-4),5),"")),"")</f>
        <v>Not Paid</v>
      </c>
    </row>
    <row r="11" ht="19.5" customHeight="1">
      <c r="A11" s="38" t="str">
        <f t="array" ref="A11:A12">IFERROR(INDEX('Daily Ledger'!$A$5:$A$304,IFERROR(SMALL(IF(('Daily Ledger'!$B$5:$B$304="INCOME")*('Daily Ledger'!$G$5:$G$304&gt;0),ROW('Daily Ledger'!$B$5:$B$304)-4),6),"")),"")</f>
        <v>#REF!</v>
      </c>
      <c r="B11" s="62" t="str">
        <f t="array" ref="B11:B12">IFERROR(INDEX('Daily Ledger'!$D$5:$D$304,IFERROR(SMALL(IF(('Daily Ledger'!$B$5:$B$304="INCOME")*('Daily Ledger'!$G$5:$G$304&gt;0),ROW('Daily Ledger'!$B$5:$B$304)-4),6),"")),"")</f>
        <v>#REF!</v>
      </c>
      <c r="C11" s="63" t="str">
        <f t="array" ref="C11:C12">IFERROR(INDEX('Daily Ledger'!$E$5:$E$304,IFERROR(SMALL(IF(('Daily Ledger'!$B$5:$B$304="INCOME")*('Daily Ledger'!$G$5:$G$304&gt;0),ROW('Daily Ledger'!$B$5:$B$304)-4),6),"")),"")</f>
        <v>#REF!</v>
      </c>
      <c r="D11" s="63" t="str">
        <f t="array" ref="D11:D12">IFERROR(INDEX('Daily Ledger'!$F$5:$F$304,IFERROR(SMALL(IF(('Daily Ledger'!$B$5:$B$304="INCOME")*('Daily Ledger'!$G$5:$G$304&gt;0),ROW('Daily Ledger'!$B$5:$B$304)-4),6),"")),"")</f>
        <v>#REF!</v>
      </c>
      <c r="E11" s="60" t="str">
        <f t="array" ref="E11:E12">IFERROR(INDEX('Daily Ledger'!$G$5:$G$304,IFERROR(SMALL(IF(('Daily Ledger'!$B$5:$B$304="INCOME")*('Daily Ledger'!$G$5:$G$304&gt;0),ROW('Daily Ledger'!$B$5:$B$304)-4),6),"")),"")</f>
        <v>#REF!</v>
      </c>
      <c r="F11" s="64" t="str">
        <f t="array" ref="F11:F12">IFERROR(INDEX('Daily Ledger'!$H$5:$H$304,IFERROR(SMALL(IF(('Daily Ledger'!$B$5:$B$304="INCOME")*('Daily Ledger'!$G$5:$G$304&gt;0),ROW('Daily Ledger'!$B$5:$B$304)-4),6),"")),"")</f>
        <v>#REF!</v>
      </c>
    </row>
    <row r="12" ht="19.5" customHeight="1">
      <c r="A12" s="32" t="str">
        <f t="array" ref="A12:A13">IFERROR(INDEX('Daily Ledger'!$A$5:$A$304,IFERROR(SMALL(IF(('Daily Ledger'!$B$5:$B$304="INCOME")*('Daily Ledger'!$G$5:$G$304&gt;0),ROW('Daily Ledger'!$B$5:$B$304)-4),7),"")),"")</f>
        <v>#REF!</v>
      </c>
      <c r="B12" s="58" t="str">
        <f t="array" ref="B12:B13">IFERROR(INDEX('Daily Ledger'!$D$5:$D$304,IFERROR(SMALL(IF(('Daily Ledger'!$B$5:$B$304="INCOME")*('Daily Ledger'!$G$5:$G$304&gt;0),ROW('Daily Ledger'!$B$5:$B$304)-4),7),"")),"")</f>
        <v>#REF!</v>
      </c>
      <c r="C12" s="59" t="str">
        <f t="array" ref="C12:C13">IFERROR(INDEX('Daily Ledger'!$E$5:$E$304,IFERROR(SMALL(IF(('Daily Ledger'!$B$5:$B$304="INCOME")*('Daily Ledger'!$G$5:$G$304&gt;0),ROW('Daily Ledger'!$B$5:$B$304)-4),7),"")),"")</f>
        <v>#REF!</v>
      </c>
      <c r="D12" s="59" t="str">
        <f t="array" ref="D12:D13">IFERROR(INDEX('Daily Ledger'!$F$5:$F$304,IFERROR(SMALL(IF(('Daily Ledger'!$B$5:$B$304="INCOME")*('Daily Ledger'!$G$5:$G$304&gt;0),ROW('Daily Ledger'!$B$5:$B$304)-4),7),"")),"")</f>
        <v>#REF!</v>
      </c>
      <c r="E12" s="60" t="str">
        <f t="array" ref="E12:E13">IFERROR(INDEX('Daily Ledger'!$G$5:$G$304,IFERROR(SMALL(IF(('Daily Ledger'!$B$5:$B$304="INCOME")*('Daily Ledger'!$G$5:$G$304&gt;0),ROW('Daily Ledger'!$B$5:$B$304)-4),7),"")),"")</f>
        <v>#REF!</v>
      </c>
      <c r="F12" s="61" t="str">
        <f t="array" ref="F12:F13">IFERROR(INDEX('Daily Ledger'!$H$5:$H$304,IFERROR(SMALL(IF(('Daily Ledger'!$B$5:$B$304="INCOME")*('Daily Ledger'!$G$5:$G$304&gt;0),ROW('Daily Ledger'!$B$5:$B$304)-4),7),"")),"")</f>
        <v>#REF!</v>
      </c>
    </row>
    <row r="13" ht="19.5" customHeight="1">
      <c r="A13" s="38" t="str">
        <f t="array" ref="A13:A14">IFERROR(INDEX('Daily Ledger'!$A$5:$A$304,IFERROR(SMALL(IF(('Daily Ledger'!$B$5:$B$304="INCOME")*('Daily Ledger'!$G$5:$G$304&gt;0),ROW('Daily Ledger'!$B$5:$B$304)-4),8),"")),"")</f>
        <v>#REF!</v>
      </c>
      <c r="B13" s="62" t="str">
        <f t="array" ref="B13:B14">IFERROR(INDEX('Daily Ledger'!$D$5:$D$304,IFERROR(SMALL(IF(('Daily Ledger'!$B$5:$B$304="INCOME")*('Daily Ledger'!$G$5:$G$304&gt;0),ROW('Daily Ledger'!$B$5:$B$304)-4),8),"")),"")</f>
        <v>#REF!</v>
      </c>
      <c r="C13" s="63" t="str">
        <f t="array" ref="C13:C14">IFERROR(INDEX('Daily Ledger'!$E$5:$E$304,IFERROR(SMALL(IF(('Daily Ledger'!$B$5:$B$304="INCOME")*('Daily Ledger'!$G$5:$G$304&gt;0),ROW('Daily Ledger'!$B$5:$B$304)-4),8),"")),"")</f>
        <v>#REF!</v>
      </c>
      <c r="D13" s="63" t="str">
        <f t="array" ref="D13:D14">IFERROR(INDEX('Daily Ledger'!$F$5:$F$304,IFERROR(SMALL(IF(('Daily Ledger'!$B$5:$B$304="INCOME")*('Daily Ledger'!$G$5:$G$304&gt;0),ROW('Daily Ledger'!$B$5:$B$304)-4),8),"")),"")</f>
        <v>#REF!</v>
      </c>
      <c r="E13" s="60" t="str">
        <f t="array" ref="E13:E14">IFERROR(INDEX('Daily Ledger'!$G$5:$G$304,IFERROR(SMALL(IF(('Daily Ledger'!$B$5:$B$304="INCOME")*('Daily Ledger'!$G$5:$G$304&gt;0),ROW('Daily Ledger'!$B$5:$B$304)-4),8),"")),"")</f>
        <v>#REF!</v>
      </c>
      <c r="F13" s="64" t="str">
        <f t="array" ref="F13:F14">IFERROR(INDEX('Daily Ledger'!$H$5:$H$304,IFERROR(SMALL(IF(('Daily Ledger'!$B$5:$B$304="INCOME")*('Daily Ledger'!$G$5:$G$304&gt;0),ROW('Daily Ledger'!$B$5:$B$304)-4),8),"")),"")</f>
        <v>#REF!</v>
      </c>
    </row>
    <row r="14" ht="19.5" customHeight="1">
      <c r="A14" s="32" t="str">
        <f t="array" ref="A14:A15">IFERROR(INDEX('Daily Ledger'!$A$5:$A$304,IFERROR(SMALL(IF(('Daily Ledger'!$B$5:$B$304="INCOME")*('Daily Ledger'!$G$5:$G$304&gt;0),ROW('Daily Ledger'!$B$5:$B$304)-4),9),"")),"")</f>
        <v>#REF!</v>
      </c>
      <c r="B14" s="58" t="str">
        <f t="array" ref="B14:B15">IFERROR(INDEX('Daily Ledger'!$D$5:$D$304,IFERROR(SMALL(IF(('Daily Ledger'!$B$5:$B$304="INCOME")*('Daily Ledger'!$G$5:$G$304&gt;0),ROW('Daily Ledger'!$B$5:$B$304)-4),9),"")),"")</f>
        <v>#REF!</v>
      </c>
      <c r="C14" s="59" t="str">
        <f t="array" ref="C14:C15">IFERROR(INDEX('Daily Ledger'!$E$5:$E$304,IFERROR(SMALL(IF(('Daily Ledger'!$B$5:$B$304="INCOME")*('Daily Ledger'!$G$5:$G$304&gt;0),ROW('Daily Ledger'!$B$5:$B$304)-4),9),"")),"")</f>
        <v>#REF!</v>
      </c>
      <c r="D14" s="59" t="str">
        <f t="array" ref="D14:D15">IFERROR(INDEX('Daily Ledger'!$F$5:$F$304,IFERROR(SMALL(IF(('Daily Ledger'!$B$5:$B$304="INCOME")*('Daily Ledger'!$G$5:$G$304&gt;0),ROW('Daily Ledger'!$B$5:$B$304)-4),9),"")),"")</f>
        <v>#REF!</v>
      </c>
      <c r="E14" s="60" t="str">
        <f t="array" ref="E14:E15">IFERROR(INDEX('Daily Ledger'!$G$5:$G$304,IFERROR(SMALL(IF(('Daily Ledger'!$B$5:$B$304="INCOME")*('Daily Ledger'!$G$5:$G$304&gt;0),ROW('Daily Ledger'!$B$5:$B$304)-4),9),"")),"")</f>
        <v>#REF!</v>
      </c>
      <c r="F14" s="61" t="str">
        <f t="array" ref="F14:F15">IFERROR(INDEX('Daily Ledger'!$H$5:$H$304,IFERROR(SMALL(IF(('Daily Ledger'!$B$5:$B$304="INCOME")*('Daily Ledger'!$G$5:$G$304&gt;0),ROW('Daily Ledger'!$B$5:$B$304)-4),9),"")),"")</f>
        <v>#REF!</v>
      </c>
    </row>
    <row r="15" ht="19.5" customHeight="1">
      <c r="A15" s="38" t="str">
        <f t="array" ref="A15:A16">IFERROR(INDEX('Daily Ledger'!$A$5:$A$304,IFERROR(SMALL(IF(('Daily Ledger'!$B$5:$B$304="INCOME")*('Daily Ledger'!$G$5:$G$304&gt;0),ROW('Daily Ledger'!$B$5:$B$304)-4),10),"")),"")</f>
        <v>#REF!</v>
      </c>
      <c r="B15" s="62" t="str">
        <f t="array" ref="B15:B16">IFERROR(INDEX('Daily Ledger'!$D$5:$D$304,IFERROR(SMALL(IF(('Daily Ledger'!$B$5:$B$304="INCOME")*('Daily Ledger'!$G$5:$G$304&gt;0),ROW('Daily Ledger'!$B$5:$B$304)-4),10),"")),"")</f>
        <v>#REF!</v>
      </c>
      <c r="C15" s="63" t="str">
        <f t="array" ref="C15:C16">IFERROR(INDEX('Daily Ledger'!$E$5:$E$304,IFERROR(SMALL(IF(('Daily Ledger'!$B$5:$B$304="INCOME")*('Daily Ledger'!$G$5:$G$304&gt;0),ROW('Daily Ledger'!$B$5:$B$304)-4),10),"")),"")</f>
        <v>#REF!</v>
      </c>
      <c r="D15" s="63" t="str">
        <f t="array" ref="D15:D16">IFERROR(INDEX('Daily Ledger'!$F$5:$F$304,IFERROR(SMALL(IF(('Daily Ledger'!$B$5:$B$304="INCOME")*('Daily Ledger'!$G$5:$G$304&gt;0),ROW('Daily Ledger'!$B$5:$B$304)-4),10),"")),"")</f>
        <v>#REF!</v>
      </c>
      <c r="E15" s="60" t="str">
        <f t="array" ref="E15:E16">IFERROR(INDEX('Daily Ledger'!$G$5:$G$304,IFERROR(SMALL(IF(('Daily Ledger'!$B$5:$B$304="INCOME")*('Daily Ledger'!$G$5:$G$304&gt;0),ROW('Daily Ledger'!$B$5:$B$304)-4),10),"")),"")</f>
        <v>#REF!</v>
      </c>
      <c r="F15" s="64" t="str">
        <f t="array" ref="F15:F16">IFERROR(INDEX('Daily Ledger'!$H$5:$H$304,IFERROR(SMALL(IF(('Daily Ledger'!$B$5:$B$304="INCOME")*('Daily Ledger'!$G$5:$G$304&gt;0),ROW('Daily Ledger'!$B$5:$B$304)-4),10),"")),"")</f>
        <v>#REF!</v>
      </c>
    </row>
    <row r="16" ht="19.5" customHeight="1">
      <c r="A16" s="32" t="str">
        <f t="array" ref="A16:A17">IFERROR(INDEX('Daily Ledger'!$A$5:$A$304,IFERROR(SMALL(IF(('Daily Ledger'!$B$5:$B$304="INCOME")*('Daily Ledger'!$G$5:$G$304&gt;0),ROW('Daily Ledger'!$B$5:$B$304)-4),11),"")),"")</f>
        <v>#REF!</v>
      </c>
      <c r="B16" s="58" t="str">
        <f t="array" ref="B16:B17">IFERROR(INDEX('Daily Ledger'!$D$5:$D$304,IFERROR(SMALL(IF(('Daily Ledger'!$B$5:$B$304="INCOME")*('Daily Ledger'!$G$5:$G$304&gt;0),ROW('Daily Ledger'!$B$5:$B$304)-4),11),"")),"")</f>
        <v>#REF!</v>
      </c>
      <c r="C16" s="59" t="str">
        <f t="array" ref="C16:C17">IFERROR(INDEX('Daily Ledger'!$E$5:$E$304,IFERROR(SMALL(IF(('Daily Ledger'!$B$5:$B$304="INCOME")*('Daily Ledger'!$G$5:$G$304&gt;0),ROW('Daily Ledger'!$B$5:$B$304)-4),11),"")),"")</f>
        <v>#REF!</v>
      </c>
      <c r="D16" s="59" t="str">
        <f t="array" ref="D16:D17">IFERROR(INDEX('Daily Ledger'!$F$5:$F$304,IFERROR(SMALL(IF(('Daily Ledger'!$B$5:$B$304="INCOME")*('Daily Ledger'!$G$5:$G$304&gt;0),ROW('Daily Ledger'!$B$5:$B$304)-4),11),"")),"")</f>
        <v>#REF!</v>
      </c>
      <c r="E16" s="60" t="str">
        <f t="array" ref="E16:E17">IFERROR(INDEX('Daily Ledger'!$G$5:$G$304,IFERROR(SMALL(IF(('Daily Ledger'!$B$5:$B$304="INCOME")*('Daily Ledger'!$G$5:$G$304&gt;0),ROW('Daily Ledger'!$B$5:$B$304)-4),11),"")),"")</f>
        <v>#REF!</v>
      </c>
      <c r="F16" s="61" t="str">
        <f t="array" ref="F16:F17">IFERROR(INDEX('Daily Ledger'!$H$5:$H$304,IFERROR(SMALL(IF(('Daily Ledger'!$B$5:$B$304="INCOME")*('Daily Ledger'!$G$5:$G$304&gt;0),ROW('Daily Ledger'!$B$5:$B$304)-4),11),"")),"")</f>
        <v>#REF!</v>
      </c>
    </row>
    <row r="17" ht="19.5" customHeight="1">
      <c r="A17" s="38" t="str">
        <f t="array" ref="A17:A18">IFERROR(INDEX('Daily Ledger'!$A$5:$A$304,IFERROR(SMALL(IF(('Daily Ledger'!$B$5:$B$304="INCOME")*('Daily Ledger'!$G$5:$G$304&gt;0),ROW('Daily Ledger'!$B$5:$B$304)-4),12),"")),"")</f>
        <v>#REF!</v>
      </c>
      <c r="B17" s="62" t="str">
        <f t="array" ref="B17:B18">IFERROR(INDEX('Daily Ledger'!$D$5:$D$304,IFERROR(SMALL(IF(('Daily Ledger'!$B$5:$B$304="INCOME")*('Daily Ledger'!$G$5:$G$304&gt;0),ROW('Daily Ledger'!$B$5:$B$304)-4),12),"")),"")</f>
        <v>#REF!</v>
      </c>
      <c r="C17" s="63" t="str">
        <f t="array" ref="C17:C18">IFERROR(INDEX('Daily Ledger'!$E$5:$E$304,IFERROR(SMALL(IF(('Daily Ledger'!$B$5:$B$304="INCOME")*('Daily Ledger'!$G$5:$G$304&gt;0),ROW('Daily Ledger'!$B$5:$B$304)-4),12),"")),"")</f>
        <v>#REF!</v>
      </c>
      <c r="D17" s="63" t="str">
        <f t="array" ref="D17:D18">IFERROR(INDEX('Daily Ledger'!$F$5:$F$304,IFERROR(SMALL(IF(('Daily Ledger'!$B$5:$B$304="INCOME")*('Daily Ledger'!$G$5:$G$304&gt;0),ROW('Daily Ledger'!$B$5:$B$304)-4),12),"")),"")</f>
        <v>#REF!</v>
      </c>
      <c r="E17" s="60" t="str">
        <f t="array" ref="E17:E18">IFERROR(INDEX('Daily Ledger'!$G$5:$G$304,IFERROR(SMALL(IF(('Daily Ledger'!$B$5:$B$304="INCOME")*('Daily Ledger'!$G$5:$G$304&gt;0),ROW('Daily Ledger'!$B$5:$B$304)-4),12),"")),"")</f>
        <v>#REF!</v>
      </c>
      <c r="F17" s="64" t="str">
        <f t="array" ref="F17:F18">IFERROR(INDEX('Daily Ledger'!$H$5:$H$304,IFERROR(SMALL(IF(('Daily Ledger'!$B$5:$B$304="INCOME")*('Daily Ledger'!$G$5:$G$304&gt;0),ROW('Daily Ledger'!$B$5:$B$304)-4),12),"")),"")</f>
        <v>#REF!</v>
      </c>
    </row>
    <row r="18" ht="19.5" customHeight="1">
      <c r="A18" s="32" t="str">
        <f t="array" ref="A18:A19">IFERROR(INDEX('Daily Ledger'!$A$5:$A$304,IFERROR(SMALL(IF(('Daily Ledger'!$B$5:$B$304="INCOME")*('Daily Ledger'!$G$5:$G$304&gt;0),ROW('Daily Ledger'!$B$5:$B$304)-4),13),"")),"")</f>
        <v>#REF!</v>
      </c>
      <c r="B18" s="58" t="str">
        <f t="array" ref="B18:B19">IFERROR(INDEX('Daily Ledger'!$D$5:$D$304,IFERROR(SMALL(IF(('Daily Ledger'!$B$5:$B$304="INCOME")*('Daily Ledger'!$G$5:$G$304&gt;0),ROW('Daily Ledger'!$B$5:$B$304)-4),13),"")),"")</f>
        <v>#REF!</v>
      </c>
      <c r="C18" s="59" t="str">
        <f t="array" ref="C18:C19">IFERROR(INDEX('Daily Ledger'!$E$5:$E$304,IFERROR(SMALL(IF(('Daily Ledger'!$B$5:$B$304="INCOME")*('Daily Ledger'!$G$5:$G$304&gt;0),ROW('Daily Ledger'!$B$5:$B$304)-4),13),"")),"")</f>
        <v>#REF!</v>
      </c>
      <c r="D18" s="59" t="str">
        <f t="array" ref="D18:D19">IFERROR(INDEX('Daily Ledger'!$F$5:$F$304,IFERROR(SMALL(IF(('Daily Ledger'!$B$5:$B$304="INCOME")*('Daily Ledger'!$G$5:$G$304&gt;0),ROW('Daily Ledger'!$B$5:$B$304)-4),13),"")),"")</f>
        <v>#REF!</v>
      </c>
      <c r="E18" s="60" t="str">
        <f t="array" ref="E18:E19">IFERROR(INDEX('Daily Ledger'!$G$5:$G$304,IFERROR(SMALL(IF(('Daily Ledger'!$B$5:$B$304="INCOME")*('Daily Ledger'!$G$5:$G$304&gt;0),ROW('Daily Ledger'!$B$5:$B$304)-4),13),"")),"")</f>
        <v>#REF!</v>
      </c>
      <c r="F18" s="61" t="str">
        <f t="array" ref="F18:F19">IFERROR(INDEX('Daily Ledger'!$H$5:$H$304,IFERROR(SMALL(IF(('Daily Ledger'!$B$5:$B$304="INCOME")*('Daily Ledger'!$G$5:$G$304&gt;0),ROW('Daily Ledger'!$B$5:$B$304)-4),13),"")),"")</f>
        <v>#REF!</v>
      </c>
    </row>
    <row r="19" ht="19.5" customHeight="1">
      <c r="A19" s="38" t="str">
        <f t="array" ref="A19:A20">IFERROR(INDEX('Daily Ledger'!$A$5:$A$304,IFERROR(SMALL(IF(('Daily Ledger'!$B$5:$B$304="INCOME")*('Daily Ledger'!$G$5:$G$304&gt;0),ROW('Daily Ledger'!$B$5:$B$304)-4),14),"")),"")</f>
        <v>#REF!</v>
      </c>
      <c r="B19" s="62" t="str">
        <f t="array" ref="B19:B20">IFERROR(INDEX('Daily Ledger'!$D$5:$D$304,IFERROR(SMALL(IF(('Daily Ledger'!$B$5:$B$304="INCOME")*('Daily Ledger'!$G$5:$G$304&gt;0),ROW('Daily Ledger'!$B$5:$B$304)-4),14),"")),"")</f>
        <v>#REF!</v>
      </c>
      <c r="C19" s="63" t="str">
        <f t="array" ref="C19:C20">IFERROR(INDEX('Daily Ledger'!$E$5:$E$304,IFERROR(SMALL(IF(('Daily Ledger'!$B$5:$B$304="INCOME")*('Daily Ledger'!$G$5:$G$304&gt;0),ROW('Daily Ledger'!$B$5:$B$304)-4),14),"")),"")</f>
        <v>#REF!</v>
      </c>
      <c r="D19" s="63" t="str">
        <f t="array" ref="D19:D20">IFERROR(INDEX('Daily Ledger'!$F$5:$F$304,IFERROR(SMALL(IF(('Daily Ledger'!$B$5:$B$304="INCOME")*('Daily Ledger'!$G$5:$G$304&gt;0),ROW('Daily Ledger'!$B$5:$B$304)-4),14),"")),"")</f>
        <v>#REF!</v>
      </c>
      <c r="E19" s="60" t="str">
        <f t="array" ref="E19:E20">IFERROR(INDEX('Daily Ledger'!$G$5:$G$304,IFERROR(SMALL(IF(('Daily Ledger'!$B$5:$B$304="INCOME")*('Daily Ledger'!$G$5:$G$304&gt;0),ROW('Daily Ledger'!$B$5:$B$304)-4),14),"")),"")</f>
        <v>#REF!</v>
      </c>
      <c r="F19" s="64" t="str">
        <f t="array" ref="F19:F20">IFERROR(INDEX('Daily Ledger'!$H$5:$H$304,IFERROR(SMALL(IF(('Daily Ledger'!$B$5:$B$304="INCOME")*('Daily Ledger'!$G$5:$G$304&gt;0),ROW('Daily Ledger'!$B$5:$B$304)-4),14),"")),"")</f>
        <v>#REF!</v>
      </c>
    </row>
    <row r="20" ht="19.5" customHeight="1">
      <c r="A20" s="32" t="str">
        <f t="array" ref="A20:A21">IFERROR(INDEX('Daily Ledger'!$A$5:$A$304,IFERROR(SMALL(IF(('Daily Ledger'!$B$5:$B$304="INCOME")*('Daily Ledger'!$G$5:$G$304&gt;0),ROW('Daily Ledger'!$B$5:$B$304)-4),15),"")),"")</f>
        <v>#REF!</v>
      </c>
      <c r="B20" s="58" t="str">
        <f t="array" ref="B20:B21">IFERROR(INDEX('Daily Ledger'!$D$5:$D$304,IFERROR(SMALL(IF(('Daily Ledger'!$B$5:$B$304="INCOME")*('Daily Ledger'!$G$5:$G$304&gt;0),ROW('Daily Ledger'!$B$5:$B$304)-4),15),"")),"")</f>
        <v>#REF!</v>
      </c>
      <c r="C20" s="59" t="str">
        <f t="array" ref="C20:C21">IFERROR(INDEX('Daily Ledger'!$E$5:$E$304,IFERROR(SMALL(IF(('Daily Ledger'!$B$5:$B$304="INCOME")*('Daily Ledger'!$G$5:$G$304&gt;0),ROW('Daily Ledger'!$B$5:$B$304)-4),15),"")),"")</f>
        <v>#REF!</v>
      </c>
      <c r="D20" s="59" t="str">
        <f t="array" ref="D20:D21">IFERROR(INDEX('Daily Ledger'!$F$5:$F$304,IFERROR(SMALL(IF(('Daily Ledger'!$B$5:$B$304="INCOME")*('Daily Ledger'!$G$5:$G$304&gt;0),ROW('Daily Ledger'!$B$5:$B$304)-4),15),"")),"")</f>
        <v>#REF!</v>
      </c>
      <c r="E20" s="60" t="str">
        <f t="array" ref="E20:E21">IFERROR(INDEX('Daily Ledger'!$G$5:$G$304,IFERROR(SMALL(IF(('Daily Ledger'!$B$5:$B$304="INCOME")*('Daily Ledger'!$G$5:$G$304&gt;0),ROW('Daily Ledger'!$B$5:$B$304)-4),15),"")),"")</f>
        <v>#REF!</v>
      </c>
      <c r="F20" s="61" t="str">
        <f t="array" ref="F20:F21">IFERROR(INDEX('Daily Ledger'!$H$5:$H$304,IFERROR(SMALL(IF(('Daily Ledger'!$B$5:$B$304="INCOME")*('Daily Ledger'!$G$5:$G$304&gt;0),ROW('Daily Ledger'!$B$5:$B$304)-4),15),"")),"")</f>
        <v>#REF!</v>
      </c>
    </row>
    <row r="21" ht="19.5" customHeight="1">
      <c r="A21" s="38" t="str">
        <f t="array" ref="A21:A22">IFERROR(INDEX('Daily Ledger'!$A$5:$A$304,IFERROR(SMALL(IF(('Daily Ledger'!$B$5:$B$304="INCOME")*('Daily Ledger'!$G$5:$G$304&gt;0),ROW('Daily Ledger'!$B$5:$B$304)-4),16),"")),"")</f>
        <v>#REF!</v>
      </c>
      <c r="B21" s="62" t="str">
        <f t="array" ref="B21:B22">IFERROR(INDEX('Daily Ledger'!$D$5:$D$304,IFERROR(SMALL(IF(('Daily Ledger'!$B$5:$B$304="INCOME")*('Daily Ledger'!$G$5:$G$304&gt;0),ROW('Daily Ledger'!$B$5:$B$304)-4),16),"")),"")</f>
        <v>#REF!</v>
      </c>
      <c r="C21" s="63" t="str">
        <f t="array" ref="C21:C22">IFERROR(INDEX('Daily Ledger'!$E$5:$E$304,IFERROR(SMALL(IF(('Daily Ledger'!$B$5:$B$304="INCOME")*('Daily Ledger'!$G$5:$G$304&gt;0),ROW('Daily Ledger'!$B$5:$B$304)-4),16),"")),"")</f>
        <v>#REF!</v>
      </c>
      <c r="D21" s="63" t="str">
        <f t="array" ref="D21:D22">IFERROR(INDEX('Daily Ledger'!$F$5:$F$304,IFERROR(SMALL(IF(('Daily Ledger'!$B$5:$B$304="INCOME")*('Daily Ledger'!$G$5:$G$304&gt;0),ROW('Daily Ledger'!$B$5:$B$304)-4),16),"")),"")</f>
        <v>#REF!</v>
      </c>
      <c r="E21" s="60" t="str">
        <f t="array" ref="E21:E22">IFERROR(INDEX('Daily Ledger'!$G$5:$G$304,IFERROR(SMALL(IF(('Daily Ledger'!$B$5:$B$304="INCOME")*('Daily Ledger'!$G$5:$G$304&gt;0),ROW('Daily Ledger'!$B$5:$B$304)-4),16),"")),"")</f>
        <v>#REF!</v>
      </c>
      <c r="F21" s="64" t="str">
        <f t="array" ref="F21:F22">IFERROR(INDEX('Daily Ledger'!$H$5:$H$304,IFERROR(SMALL(IF(('Daily Ledger'!$B$5:$B$304="INCOME")*('Daily Ledger'!$G$5:$G$304&gt;0),ROW('Daily Ledger'!$B$5:$B$304)-4),16),"")),"")</f>
        <v>#REF!</v>
      </c>
    </row>
    <row r="22" ht="19.5" customHeight="1">
      <c r="A22" s="32" t="str">
        <f t="array" ref="A22:A23">IFERROR(INDEX('Daily Ledger'!$A$5:$A$304,IFERROR(SMALL(IF(('Daily Ledger'!$B$5:$B$304="INCOME")*('Daily Ledger'!$G$5:$G$304&gt;0),ROW('Daily Ledger'!$B$5:$B$304)-4),17),"")),"")</f>
        <v>#REF!</v>
      </c>
      <c r="B22" s="58" t="str">
        <f t="array" ref="B22:B23">IFERROR(INDEX('Daily Ledger'!$D$5:$D$304,IFERROR(SMALL(IF(('Daily Ledger'!$B$5:$B$304="INCOME")*('Daily Ledger'!$G$5:$G$304&gt;0),ROW('Daily Ledger'!$B$5:$B$304)-4),17),"")),"")</f>
        <v>#REF!</v>
      </c>
      <c r="C22" s="59" t="str">
        <f t="array" ref="C22:C23">IFERROR(INDEX('Daily Ledger'!$E$5:$E$304,IFERROR(SMALL(IF(('Daily Ledger'!$B$5:$B$304="INCOME")*('Daily Ledger'!$G$5:$G$304&gt;0),ROW('Daily Ledger'!$B$5:$B$304)-4),17),"")),"")</f>
        <v>#REF!</v>
      </c>
      <c r="D22" s="59" t="str">
        <f t="array" ref="D22:D23">IFERROR(INDEX('Daily Ledger'!$F$5:$F$304,IFERROR(SMALL(IF(('Daily Ledger'!$B$5:$B$304="INCOME")*('Daily Ledger'!$G$5:$G$304&gt;0),ROW('Daily Ledger'!$B$5:$B$304)-4),17),"")),"")</f>
        <v>#REF!</v>
      </c>
      <c r="E22" s="60" t="str">
        <f t="array" ref="E22:E23">IFERROR(INDEX('Daily Ledger'!$G$5:$G$304,IFERROR(SMALL(IF(('Daily Ledger'!$B$5:$B$304="INCOME")*('Daily Ledger'!$G$5:$G$304&gt;0),ROW('Daily Ledger'!$B$5:$B$304)-4),17),"")),"")</f>
        <v>#REF!</v>
      </c>
      <c r="F22" s="61" t="str">
        <f t="array" ref="F22:F23">IFERROR(INDEX('Daily Ledger'!$H$5:$H$304,IFERROR(SMALL(IF(('Daily Ledger'!$B$5:$B$304="INCOME")*('Daily Ledger'!$G$5:$G$304&gt;0),ROW('Daily Ledger'!$B$5:$B$304)-4),17),"")),"")</f>
        <v>#REF!</v>
      </c>
    </row>
    <row r="23" ht="19.5" customHeight="1">
      <c r="A23" s="38" t="str">
        <f t="array" ref="A23:A24">IFERROR(INDEX('Daily Ledger'!$A$5:$A$304,IFERROR(SMALL(IF(('Daily Ledger'!$B$5:$B$304="INCOME")*('Daily Ledger'!$G$5:$G$304&gt;0),ROW('Daily Ledger'!$B$5:$B$304)-4),18),"")),"")</f>
        <v>#REF!</v>
      </c>
      <c r="B23" s="62" t="str">
        <f t="array" ref="B23:B24">IFERROR(INDEX('Daily Ledger'!$D$5:$D$304,IFERROR(SMALL(IF(('Daily Ledger'!$B$5:$B$304="INCOME")*('Daily Ledger'!$G$5:$G$304&gt;0),ROW('Daily Ledger'!$B$5:$B$304)-4),18),"")),"")</f>
        <v>#REF!</v>
      </c>
      <c r="C23" s="63" t="str">
        <f t="array" ref="C23:C24">IFERROR(INDEX('Daily Ledger'!$E$5:$E$304,IFERROR(SMALL(IF(('Daily Ledger'!$B$5:$B$304="INCOME")*('Daily Ledger'!$G$5:$G$304&gt;0),ROW('Daily Ledger'!$B$5:$B$304)-4),18),"")),"")</f>
        <v>#REF!</v>
      </c>
      <c r="D23" s="63" t="str">
        <f t="array" ref="D23:D24">IFERROR(INDEX('Daily Ledger'!$F$5:$F$304,IFERROR(SMALL(IF(('Daily Ledger'!$B$5:$B$304="INCOME")*('Daily Ledger'!$G$5:$G$304&gt;0),ROW('Daily Ledger'!$B$5:$B$304)-4),18),"")),"")</f>
        <v>#REF!</v>
      </c>
      <c r="E23" s="60" t="str">
        <f t="array" ref="E23:E24">IFERROR(INDEX('Daily Ledger'!$G$5:$G$304,IFERROR(SMALL(IF(('Daily Ledger'!$B$5:$B$304="INCOME")*('Daily Ledger'!$G$5:$G$304&gt;0),ROW('Daily Ledger'!$B$5:$B$304)-4),18),"")),"")</f>
        <v>#REF!</v>
      </c>
      <c r="F23" s="64" t="str">
        <f t="array" ref="F23:F24">IFERROR(INDEX('Daily Ledger'!$H$5:$H$304,IFERROR(SMALL(IF(('Daily Ledger'!$B$5:$B$304="INCOME")*('Daily Ledger'!$G$5:$G$304&gt;0),ROW('Daily Ledger'!$B$5:$B$304)-4),18),"")),"")</f>
        <v>#REF!</v>
      </c>
    </row>
    <row r="24" ht="19.5" customHeight="1">
      <c r="A24" s="32" t="str">
        <f t="array" ref="A24:A25">IFERROR(INDEX('Daily Ledger'!$A$5:$A$304,IFERROR(SMALL(IF(('Daily Ledger'!$B$5:$B$304="INCOME")*('Daily Ledger'!$G$5:$G$304&gt;0),ROW('Daily Ledger'!$B$5:$B$304)-4),19),"")),"")</f>
        <v>#REF!</v>
      </c>
      <c r="B24" s="58" t="str">
        <f t="array" ref="B24:B25">IFERROR(INDEX('Daily Ledger'!$D$5:$D$304,IFERROR(SMALL(IF(('Daily Ledger'!$B$5:$B$304="INCOME")*('Daily Ledger'!$G$5:$G$304&gt;0),ROW('Daily Ledger'!$B$5:$B$304)-4),19),"")),"")</f>
        <v>#REF!</v>
      </c>
      <c r="C24" s="59" t="str">
        <f t="array" ref="C24:C25">IFERROR(INDEX('Daily Ledger'!$E$5:$E$304,IFERROR(SMALL(IF(('Daily Ledger'!$B$5:$B$304="INCOME")*('Daily Ledger'!$G$5:$G$304&gt;0),ROW('Daily Ledger'!$B$5:$B$304)-4),19),"")),"")</f>
        <v>#REF!</v>
      </c>
      <c r="D24" s="59" t="str">
        <f t="array" ref="D24:D25">IFERROR(INDEX('Daily Ledger'!$F$5:$F$304,IFERROR(SMALL(IF(('Daily Ledger'!$B$5:$B$304="INCOME")*('Daily Ledger'!$G$5:$G$304&gt;0),ROW('Daily Ledger'!$B$5:$B$304)-4),19),"")),"")</f>
        <v>#REF!</v>
      </c>
      <c r="E24" s="60" t="str">
        <f t="array" ref="E24:E25">IFERROR(INDEX('Daily Ledger'!$G$5:$G$304,IFERROR(SMALL(IF(('Daily Ledger'!$B$5:$B$304="INCOME")*('Daily Ledger'!$G$5:$G$304&gt;0),ROW('Daily Ledger'!$B$5:$B$304)-4),19),"")),"")</f>
        <v>#REF!</v>
      </c>
      <c r="F24" s="61" t="str">
        <f t="array" ref="F24:F25">IFERROR(INDEX('Daily Ledger'!$H$5:$H$304,IFERROR(SMALL(IF(('Daily Ledger'!$B$5:$B$304="INCOME")*('Daily Ledger'!$G$5:$G$304&gt;0),ROW('Daily Ledger'!$B$5:$B$304)-4),19),"")),"")</f>
        <v>#REF!</v>
      </c>
    </row>
    <row r="25" ht="19.5" customHeight="1">
      <c r="A25" s="38" t="str">
        <f t="array" ref="A25:A26">IFERROR(INDEX('Daily Ledger'!$A$5:$A$304,IFERROR(SMALL(IF(('Daily Ledger'!$B$5:$B$304="INCOME")*('Daily Ledger'!$G$5:$G$304&gt;0),ROW('Daily Ledger'!$B$5:$B$304)-4),20),"")),"")</f>
        <v>#REF!</v>
      </c>
      <c r="B25" s="62" t="str">
        <f t="array" ref="B25:B26">IFERROR(INDEX('Daily Ledger'!$D$5:$D$304,IFERROR(SMALL(IF(('Daily Ledger'!$B$5:$B$304="INCOME")*('Daily Ledger'!$G$5:$G$304&gt;0),ROW('Daily Ledger'!$B$5:$B$304)-4),20),"")),"")</f>
        <v>#REF!</v>
      </c>
      <c r="C25" s="63" t="str">
        <f t="array" ref="C25:C26">IFERROR(INDEX('Daily Ledger'!$E$5:$E$304,IFERROR(SMALL(IF(('Daily Ledger'!$B$5:$B$304="INCOME")*('Daily Ledger'!$G$5:$G$304&gt;0),ROW('Daily Ledger'!$B$5:$B$304)-4),20),"")),"")</f>
        <v>#REF!</v>
      </c>
      <c r="D25" s="63" t="str">
        <f t="array" ref="D25:D26">IFERROR(INDEX('Daily Ledger'!$F$5:$F$304,IFERROR(SMALL(IF(('Daily Ledger'!$B$5:$B$304="INCOME")*('Daily Ledger'!$G$5:$G$304&gt;0),ROW('Daily Ledger'!$B$5:$B$304)-4),20),"")),"")</f>
        <v>#REF!</v>
      </c>
      <c r="E25" s="60" t="str">
        <f t="array" ref="E25:E26">IFERROR(INDEX('Daily Ledger'!$G$5:$G$304,IFERROR(SMALL(IF(('Daily Ledger'!$B$5:$B$304="INCOME")*('Daily Ledger'!$G$5:$G$304&gt;0),ROW('Daily Ledger'!$B$5:$B$304)-4),20),"")),"")</f>
        <v>#REF!</v>
      </c>
      <c r="F25" s="64" t="str">
        <f t="array" ref="F25:F26">IFERROR(INDEX('Daily Ledger'!$H$5:$H$304,IFERROR(SMALL(IF(('Daily Ledger'!$B$5:$B$304="INCOME")*('Daily Ledger'!$G$5:$G$304&gt;0),ROW('Daily Ledger'!$B$5:$B$304)-4),20),"")),"")</f>
        <v>#REF!</v>
      </c>
    </row>
    <row r="26" ht="19.5" customHeight="1">
      <c r="A26" s="32" t="str">
        <f t="array" ref="A26:A27">IFERROR(INDEX('Daily Ledger'!$A$5:$A$304,IFERROR(SMALL(IF(('Daily Ledger'!$B$5:$B$304="INCOME")*('Daily Ledger'!$G$5:$G$304&gt;0),ROW('Daily Ledger'!$B$5:$B$304)-4),21),"")),"")</f>
        <v>#REF!</v>
      </c>
      <c r="B26" s="58" t="str">
        <f t="array" ref="B26:B27">IFERROR(INDEX('Daily Ledger'!$D$5:$D$304,IFERROR(SMALL(IF(('Daily Ledger'!$B$5:$B$304="INCOME")*('Daily Ledger'!$G$5:$G$304&gt;0),ROW('Daily Ledger'!$B$5:$B$304)-4),21),"")),"")</f>
        <v>#REF!</v>
      </c>
      <c r="C26" s="59" t="str">
        <f t="array" ref="C26:C27">IFERROR(INDEX('Daily Ledger'!$E$5:$E$304,IFERROR(SMALL(IF(('Daily Ledger'!$B$5:$B$304="INCOME")*('Daily Ledger'!$G$5:$G$304&gt;0),ROW('Daily Ledger'!$B$5:$B$304)-4),21),"")),"")</f>
        <v>#REF!</v>
      </c>
      <c r="D26" s="59" t="str">
        <f t="array" ref="D26:D27">IFERROR(INDEX('Daily Ledger'!$F$5:$F$304,IFERROR(SMALL(IF(('Daily Ledger'!$B$5:$B$304="INCOME")*('Daily Ledger'!$G$5:$G$304&gt;0),ROW('Daily Ledger'!$B$5:$B$304)-4),21),"")),"")</f>
        <v>#REF!</v>
      </c>
      <c r="E26" s="60" t="str">
        <f t="array" ref="E26:E27">IFERROR(INDEX('Daily Ledger'!$G$5:$G$304,IFERROR(SMALL(IF(('Daily Ledger'!$B$5:$B$304="INCOME")*('Daily Ledger'!$G$5:$G$304&gt;0),ROW('Daily Ledger'!$B$5:$B$304)-4),21),"")),"")</f>
        <v>#REF!</v>
      </c>
      <c r="F26" s="61" t="str">
        <f t="array" ref="F26:F27">IFERROR(INDEX('Daily Ledger'!$H$5:$H$304,IFERROR(SMALL(IF(('Daily Ledger'!$B$5:$B$304="INCOME")*('Daily Ledger'!$G$5:$G$304&gt;0),ROW('Daily Ledger'!$B$5:$B$304)-4),21),"")),"")</f>
        <v>#REF!</v>
      </c>
    </row>
    <row r="27" ht="19.5" customHeight="1">
      <c r="A27" s="38" t="str">
        <f t="array" ref="A27:A28">IFERROR(INDEX('Daily Ledger'!$A$5:$A$304,IFERROR(SMALL(IF(('Daily Ledger'!$B$5:$B$304="INCOME")*('Daily Ledger'!$G$5:$G$304&gt;0),ROW('Daily Ledger'!$B$5:$B$304)-4),22),"")),"")</f>
        <v>#REF!</v>
      </c>
      <c r="B27" s="62" t="str">
        <f t="array" ref="B27:B28">IFERROR(INDEX('Daily Ledger'!$D$5:$D$304,IFERROR(SMALL(IF(('Daily Ledger'!$B$5:$B$304="INCOME")*('Daily Ledger'!$G$5:$G$304&gt;0),ROW('Daily Ledger'!$B$5:$B$304)-4),22),"")),"")</f>
        <v>#REF!</v>
      </c>
      <c r="C27" s="63" t="str">
        <f t="array" ref="C27:C28">IFERROR(INDEX('Daily Ledger'!$E$5:$E$304,IFERROR(SMALL(IF(('Daily Ledger'!$B$5:$B$304="INCOME")*('Daily Ledger'!$G$5:$G$304&gt;0),ROW('Daily Ledger'!$B$5:$B$304)-4),22),"")),"")</f>
        <v>#REF!</v>
      </c>
      <c r="D27" s="63" t="str">
        <f t="array" ref="D27:D28">IFERROR(INDEX('Daily Ledger'!$F$5:$F$304,IFERROR(SMALL(IF(('Daily Ledger'!$B$5:$B$304="INCOME")*('Daily Ledger'!$G$5:$G$304&gt;0),ROW('Daily Ledger'!$B$5:$B$304)-4),22),"")),"")</f>
        <v>#REF!</v>
      </c>
      <c r="E27" s="60" t="str">
        <f t="array" ref="E27:E28">IFERROR(INDEX('Daily Ledger'!$G$5:$G$304,IFERROR(SMALL(IF(('Daily Ledger'!$B$5:$B$304="INCOME")*('Daily Ledger'!$G$5:$G$304&gt;0),ROW('Daily Ledger'!$B$5:$B$304)-4),22),"")),"")</f>
        <v>#REF!</v>
      </c>
      <c r="F27" s="64" t="str">
        <f t="array" ref="F27:F28">IFERROR(INDEX('Daily Ledger'!$H$5:$H$304,IFERROR(SMALL(IF(('Daily Ledger'!$B$5:$B$304="INCOME")*('Daily Ledger'!$G$5:$G$304&gt;0),ROW('Daily Ledger'!$B$5:$B$304)-4),22),"")),"")</f>
        <v>#REF!</v>
      </c>
    </row>
    <row r="28" ht="19.5" customHeight="1">
      <c r="A28" s="32" t="str">
        <f t="array" ref="A28:A29">IFERROR(INDEX('Daily Ledger'!$A$5:$A$304,IFERROR(SMALL(IF(('Daily Ledger'!$B$5:$B$304="INCOME")*('Daily Ledger'!$G$5:$G$304&gt;0),ROW('Daily Ledger'!$B$5:$B$304)-4),23),"")),"")</f>
        <v>#REF!</v>
      </c>
      <c r="B28" s="58" t="str">
        <f t="array" ref="B28:B29">IFERROR(INDEX('Daily Ledger'!$D$5:$D$304,IFERROR(SMALL(IF(('Daily Ledger'!$B$5:$B$304="INCOME")*('Daily Ledger'!$G$5:$G$304&gt;0),ROW('Daily Ledger'!$B$5:$B$304)-4),23),"")),"")</f>
        <v>#REF!</v>
      </c>
      <c r="C28" s="59" t="str">
        <f t="array" ref="C28:C29">IFERROR(INDEX('Daily Ledger'!$E$5:$E$304,IFERROR(SMALL(IF(('Daily Ledger'!$B$5:$B$304="INCOME")*('Daily Ledger'!$G$5:$G$304&gt;0),ROW('Daily Ledger'!$B$5:$B$304)-4),23),"")),"")</f>
        <v>#REF!</v>
      </c>
      <c r="D28" s="59" t="str">
        <f t="array" ref="D28:D29">IFERROR(INDEX('Daily Ledger'!$F$5:$F$304,IFERROR(SMALL(IF(('Daily Ledger'!$B$5:$B$304="INCOME")*('Daily Ledger'!$G$5:$G$304&gt;0),ROW('Daily Ledger'!$B$5:$B$304)-4),23),"")),"")</f>
        <v>#REF!</v>
      </c>
      <c r="E28" s="60" t="str">
        <f t="array" ref="E28:E29">IFERROR(INDEX('Daily Ledger'!$G$5:$G$304,IFERROR(SMALL(IF(('Daily Ledger'!$B$5:$B$304="INCOME")*('Daily Ledger'!$G$5:$G$304&gt;0),ROW('Daily Ledger'!$B$5:$B$304)-4),23),"")),"")</f>
        <v>#REF!</v>
      </c>
      <c r="F28" s="61" t="str">
        <f t="array" ref="F28:F29">IFERROR(INDEX('Daily Ledger'!$H$5:$H$304,IFERROR(SMALL(IF(('Daily Ledger'!$B$5:$B$304="INCOME")*('Daily Ledger'!$G$5:$G$304&gt;0),ROW('Daily Ledger'!$B$5:$B$304)-4),23),"")),"")</f>
        <v>#REF!</v>
      </c>
    </row>
    <row r="29" ht="19.5" customHeight="1">
      <c r="A29" s="38" t="str">
        <f t="array" ref="A29:A30">IFERROR(INDEX('Daily Ledger'!$A$5:$A$304,IFERROR(SMALL(IF(('Daily Ledger'!$B$5:$B$304="INCOME")*('Daily Ledger'!$G$5:$G$304&gt;0),ROW('Daily Ledger'!$B$5:$B$304)-4),24),"")),"")</f>
        <v>#REF!</v>
      </c>
      <c r="B29" s="62" t="str">
        <f t="array" ref="B29:B30">IFERROR(INDEX('Daily Ledger'!$D$5:$D$304,IFERROR(SMALL(IF(('Daily Ledger'!$B$5:$B$304="INCOME")*('Daily Ledger'!$G$5:$G$304&gt;0),ROW('Daily Ledger'!$B$5:$B$304)-4),24),"")),"")</f>
        <v>#REF!</v>
      </c>
      <c r="C29" s="63" t="str">
        <f t="array" ref="C29:C30">IFERROR(INDEX('Daily Ledger'!$E$5:$E$304,IFERROR(SMALL(IF(('Daily Ledger'!$B$5:$B$304="INCOME")*('Daily Ledger'!$G$5:$G$304&gt;0),ROW('Daily Ledger'!$B$5:$B$304)-4),24),"")),"")</f>
        <v>#REF!</v>
      </c>
      <c r="D29" s="63" t="str">
        <f t="array" ref="D29:D30">IFERROR(INDEX('Daily Ledger'!$F$5:$F$304,IFERROR(SMALL(IF(('Daily Ledger'!$B$5:$B$304="INCOME")*('Daily Ledger'!$G$5:$G$304&gt;0),ROW('Daily Ledger'!$B$5:$B$304)-4),24),"")),"")</f>
        <v>#REF!</v>
      </c>
      <c r="E29" s="60" t="str">
        <f t="array" ref="E29:E30">IFERROR(INDEX('Daily Ledger'!$G$5:$G$304,IFERROR(SMALL(IF(('Daily Ledger'!$B$5:$B$304="INCOME")*('Daily Ledger'!$G$5:$G$304&gt;0),ROW('Daily Ledger'!$B$5:$B$304)-4),24),"")),"")</f>
        <v>#REF!</v>
      </c>
      <c r="F29" s="64" t="str">
        <f t="array" ref="F29:F30">IFERROR(INDEX('Daily Ledger'!$H$5:$H$304,IFERROR(SMALL(IF(('Daily Ledger'!$B$5:$B$304="INCOME")*('Daily Ledger'!$G$5:$G$304&gt;0),ROW('Daily Ledger'!$B$5:$B$304)-4),24),"")),"")</f>
        <v>#REF!</v>
      </c>
    </row>
    <row r="30" ht="19.5" customHeight="1">
      <c r="A30" s="32" t="str">
        <f t="array" ref="A30:A31">IFERROR(INDEX('Daily Ledger'!$A$5:$A$304,IFERROR(SMALL(IF(('Daily Ledger'!$B$5:$B$304="INCOME")*('Daily Ledger'!$G$5:$G$304&gt;0),ROW('Daily Ledger'!$B$5:$B$304)-4),25),"")),"")</f>
        <v>#REF!</v>
      </c>
      <c r="B30" s="58" t="str">
        <f t="array" ref="B30:B31">IFERROR(INDEX('Daily Ledger'!$D$5:$D$304,IFERROR(SMALL(IF(('Daily Ledger'!$B$5:$B$304="INCOME")*('Daily Ledger'!$G$5:$G$304&gt;0),ROW('Daily Ledger'!$B$5:$B$304)-4),25),"")),"")</f>
        <v>#REF!</v>
      </c>
      <c r="C30" s="59" t="str">
        <f t="array" ref="C30:C31">IFERROR(INDEX('Daily Ledger'!$E$5:$E$304,IFERROR(SMALL(IF(('Daily Ledger'!$B$5:$B$304="INCOME")*('Daily Ledger'!$G$5:$G$304&gt;0),ROW('Daily Ledger'!$B$5:$B$304)-4),25),"")),"")</f>
        <v>#REF!</v>
      </c>
      <c r="D30" s="59" t="str">
        <f t="array" ref="D30:D31">IFERROR(INDEX('Daily Ledger'!$F$5:$F$304,IFERROR(SMALL(IF(('Daily Ledger'!$B$5:$B$304="INCOME")*('Daily Ledger'!$G$5:$G$304&gt;0),ROW('Daily Ledger'!$B$5:$B$304)-4),25),"")),"")</f>
        <v>#REF!</v>
      </c>
      <c r="E30" s="60" t="str">
        <f t="array" ref="E30:E31">IFERROR(INDEX('Daily Ledger'!$G$5:$G$304,IFERROR(SMALL(IF(('Daily Ledger'!$B$5:$B$304="INCOME")*('Daily Ledger'!$G$5:$G$304&gt;0),ROW('Daily Ledger'!$B$5:$B$304)-4),25),"")),"")</f>
        <v>#REF!</v>
      </c>
      <c r="F30" s="61" t="str">
        <f t="array" ref="F30:F31">IFERROR(INDEX('Daily Ledger'!$H$5:$H$304,IFERROR(SMALL(IF(('Daily Ledger'!$B$5:$B$304="INCOME")*('Daily Ledger'!$G$5:$G$304&gt;0),ROW('Daily Ledger'!$B$5:$B$304)-4),25),"")),"")</f>
        <v>#REF!</v>
      </c>
    </row>
    <row r="31" ht="19.5" customHeight="1">
      <c r="A31" s="38" t="str">
        <f t="array" ref="A31:A32">IFERROR(INDEX('Daily Ledger'!$A$5:$A$304,IFERROR(SMALL(IF(('Daily Ledger'!$B$5:$B$304="INCOME")*('Daily Ledger'!$G$5:$G$304&gt;0),ROW('Daily Ledger'!$B$5:$B$304)-4),26),"")),"")</f>
        <v>#REF!</v>
      </c>
      <c r="B31" s="62" t="str">
        <f t="array" ref="B31:B32">IFERROR(INDEX('Daily Ledger'!$D$5:$D$304,IFERROR(SMALL(IF(('Daily Ledger'!$B$5:$B$304="INCOME")*('Daily Ledger'!$G$5:$G$304&gt;0),ROW('Daily Ledger'!$B$5:$B$304)-4),26),"")),"")</f>
        <v>#REF!</v>
      </c>
      <c r="C31" s="63" t="str">
        <f t="array" ref="C31:C32">IFERROR(INDEX('Daily Ledger'!$E$5:$E$304,IFERROR(SMALL(IF(('Daily Ledger'!$B$5:$B$304="INCOME")*('Daily Ledger'!$G$5:$G$304&gt;0),ROW('Daily Ledger'!$B$5:$B$304)-4),26),"")),"")</f>
        <v>#REF!</v>
      </c>
      <c r="D31" s="63" t="str">
        <f t="array" ref="D31:D32">IFERROR(INDEX('Daily Ledger'!$F$5:$F$304,IFERROR(SMALL(IF(('Daily Ledger'!$B$5:$B$304="INCOME")*('Daily Ledger'!$G$5:$G$304&gt;0),ROW('Daily Ledger'!$B$5:$B$304)-4),26),"")),"")</f>
        <v>#REF!</v>
      </c>
      <c r="E31" s="60" t="str">
        <f t="array" ref="E31:E32">IFERROR(INDEX('Daily Ledger'!$G$5:$G$304,IFERROR(SMALL(IF(('Daily Ledger'!$B$5:$B$304="INCOME")*('Daily Ledger'!$G$5:$G$304&gt;0),ROW('Daily Ledger'!$B$5:$B$304)-4),26),"")),"")</f>
        <v>#REF!</v>
      </c>
      <c r="F31" s="64" t="str">
        <f t="array" ref="F31:F32">IFERROR(INDEX('Daily Ledger'!$H$5:$H$304,IFERROR(SMALL(IF(('Daily Ledger'!$B$5:$B$304="INCOME")*('Daily Ledger'!$G$5:$G$304&gt;0),ROW('Daily Ledger'!$B$5:$B$304)-4),26),"")),"")</f>
        <v>#REF!</v>
      </c>
    </row>
    <row r="32" ht="19.5" customHeight="1">
      <c r="A32" s="32" t="str">
        <f t="array" ref="A32:A33">IFERROR(INDEX('Daily Ledger'!$A$5:$A$304,IFERROR(SMALL(IF(('Daily Ledger'!$B$5:$B$304="INCOME")*('Daily Ledger'!$G$5:$G$304&gt;0),ROW('Daily Ledger'!$B$5:$B$304)-4),27),"")),"")</f>
        <v>#REF!</v>
      </c>
      <c r="B32" s="58" t="str">
        <f t="array" ref="B32:B33">IFERROR(INDEX('Daily Ledger'!$D$5:$D$304,IFERROR(SMALL(IF(('Daily Ledger'!$B$5:$B$304="INCOME")*('Daily Ledger'!$G$5:$G$304&gt;0),ROW('Daily Ledger'!$B$5:$B$304)-4),27),"")),"")</f>
        <v>#REF!</v>
      </c>
      <c r="C32" s="59" t="str">
        <f t="array" ref="C32:C33">IFERROR(INDEX('Daily Ledger'!$E$5:$E$304,IFERROR(SMALL(IF(('Daily Ledger'!$B$5:$B$304="INCOME")*('Daily Ledger'!$G$5:$G$304&gt;0),ROW('Daily Ledger'!$B$5:$B$304)-4),27),"")),"")</f>
        <v>#REF!</v>
      </c>
      <c r="D32" s="59" t="str">
        <f t="array" ref="D32:D33">IFERROR(INDEX('Daily Ledger'!$F$5:$F$304,IFERROR(SMALL(IF(('Daily Ledger'!$B$5:$B$304="INCOME")*('Daily Ledger'!$G$5:$G$304&gt;0),ROW('Daily Ledger'!$B$5:$B$304)-4),27),"")),"")</f>
        <v>#REF!</v>
      </c>
      <c r="E32" s="60" t="str">
        <f t="array" ref="E32:E33">IFERROR(INDEX('Daily Ledger'!$G$5:$G$304,IFERROR(SMALL(IF(('Daily Ledger'!$B$5:$B$304="INCOME")*('Daily Ledger'!$G$5:$G$304&gt;0),ROW('Daily Ledger'!$B$5:$B$304)-4),27),"")),"")</f>
        <v>#REF!</v>
      </c>
      <c r="F32" s="61" t="str">
        <f t="array" ref="F32:F33">IFERROR(INDEX('Daily Ledger'!$H$5:$H$304,IFERROR(SMALL(IF(('Daily Ledger'!$B$5:$B$304="INCOME")*('Daily Ledger'!$G$5:$G$304&gt;0),ROW('Daily Ledger'!$B$5:$B$304)-4),27),"")),"")</f>
        <v>#REF!</v>
      </c>
    </row>
    <row r="33" ht="19.5" customHeight="1">
      <c r="A33" s="38" t="str">
        <f t="array" ref="A33:A34">IFERROR(INDEX('Daily Ledger'!$A$5:$A$304,IFERROR(SMALL(IF(('Daily Ledger'!$B$5:$B$304="INCOME")*('Daily Ledger'!$G$5:$G$304&gt;0),ROW('Daily Ledger'!$B$5:$B$304)-4),28),"")),"")</f>
        <v>#REF!</v>
      </c>
      <c r="B33" s="62" t="str">
        <f t="array" ref="B33:B34">IFERROR(INDEX('Daily Ledger'!$D$5:$D$304,IFERROR(SMALL(IF(('Daily Ledger'!$B$5:$B$304="INCOME")*('Daily Ledger'!$G$5:$G$304&gt;0),ROW('Daily Ledger'!$B$5:$B$304)-4),28),"")),"")</f>
        <v>#REF!</v>
      </c>
      <c r="C33" s="63" t="str">
        <f t="array" ref="C33:C34">IFERROR(INDEX('Daily Ledger'!$E$5:$E$304,IFERROR(SMALL(IF(('Daily Ledger'!$B$5:$B$304="INCOME")*('Daily Ledger'!$G$5:$G$304&gt;0),ROW('Daily Ledger'!$B$5:$B$304)-4),28),"")),"")</f>
        <v>#REF!</v>
      </c>
      <c r="D33" s="63" t="str">
        <f t="array" ref="D33:D34">IFERROR(INDEX('Daily Ledger'!$F$5:$F$304,IFERROR(SMALL(IF(('Daily Ledger'!$B$5:$B$304="INCOME")*('Daily Ledger'!$G$5:$G$304&gt;0),ROW('Daily Ledger'!$B$5:$B$304)-4),28),"")),"")</f>
        <v>#REF!</v>
      </c>
      <c r="E33" s="60" t="str">
        <f t="array" ref="E33:E34">IFERROR(INDEX('Daily Ledger'!$G$5:$G$304,IFERROR(SMALL(IF(('Daily Ledger'!$B$5:$B$304="INCOME")*('Daily Ledger'!$G$5:$G$304&gt;0),ROW('Daily Ledger'!$B$5:$B$304)-4),28),"")),"")</f>
        <v>#REF!</v>
      </c>
      <c r="F33" s="64" t="str">
        <f t="array" ref="F33:F34">IFERROR(INDEX('Daily Ledger'!$H$5:$H$304,IFERROR(SMALL(IF(('Daily Ledger'!$B$5:$B$304="INCOME")*('Daily Ledger'!$G$5:$G$304&gt;0),ROW('Daily Ledger'!$B$5:$B$304)-4),28),"")),"")</f>
        <v>#REF!</v>
      </c>
    </row>
    <row r="34" ht="19.5" customHeight="1">
      <c r="A34" s="32" t="str">
        <f t="array" ref="A34:A35">IFERROR(INDEX('Daily Ledger'!$A$5:$A$304,IFERROR(SMALL(IF(('Daily Ledger'!$B$5:$B$304="INCOME")*('Daily Ledger'!$G$5:$G$304&gt;0),ROW('Daily Ledger'!$B$5:$B$304)-4),29),"")),"")</f>
        <v>#REF!</v>
      </c>
      <c r="B34" s="58" t="str">
        <f t="array" ref="B34:B35">IFERROR(INDEX('Daily Ledger'!$D$5:$D$304,IFERROR(SMALL(IF(('Daily Ledger'!$B$5:$B$304="INCOME")*('Daily Ledger'!$G$5:$G$304&gt;0),ROW('Daily Ledger'!$B$5:$B$304)-4),29),"")),"")</f>
        <v>#REF!</v>
      </c>
      <c r="C34" s="59" t="str">
        <f t="array" ref="C34:C35">IFERROR(INDEX('Daily Ledger'!$E$5:$E$304,IFERROR(SMALL(IF(('Daily Ledger'!$B$5:$B$304="INCOME")*('Daily Ledger'!$G$5:$G$304&gt;0),ROW('Daily Ledger'!$B$5:$B$304)-4),29),"")),"")</f>
        <v>#REF!</v>
      </c>
      <c r="D34" s="59" t="str">
        <f t="array" ref="D34:D35">IFERROR(INDEX('Daily Ledger'!$F$5:$F$304,IFERROR(SMALL(IF(('Daily Ledger'!$B$5:$B$304="INCOME")*('Daily Ledger'!$G$5:$G$304&gt;0),ROW('Daily Ledger'!$B$5:$B$304)-4),29),"")),"")</f>
        <v>#REF!</v>
      </c>
      <c r="E34" s="60" t="str">
        <f t="array" ref="E34:E35">IFERROR(INDEX('Daily Ledger'!$G$5:$G$304,IFERROR(SMALL(IF(('Daily Ledger'!$B$5:$B$304="INCOME")*('Daily Ledger'!$G$5:$G$304&gt;0),ROW('Daily Ledger'!$B$5:$B$304)-4),29),"")),"")</f>
        <v>#REF!</v>
      </c>
      <c r="F34" s="61" t="str">
        <f t="array" ref="F34:F35">IFERROR(INDEX('Daily Ledger'!$H$5:$H$304,IFERROR(SMALL(IF(('Daily Ledger'!$B$5:$B$304="INCOME")*('Daily Ledger'!$G$5:$G$304&gt;0),ROW('Daily Ledger'!$B$5:$B$304)-4),29),"")),"")</f>
        <v>#REF!</v>
      </c>
    </row>
    <row r="35" ht="19.5" customHeight="1">
      <c r="A35" s="38" t="str">
        <f t="array" ref="A35:A36">IFERROR(INDEX('Daily Ledger'!$A$5:$A$304,IFERROR(SMALL(IF(('Daily Ledger'!$B$5:$B$304="INCOME")*('Daily Ledger'!$G$5:$G$304&gt;0),ROW('Daily Ledger'!$B$5:$B$304)-4),30),"")),"")</f>
        <v>#REF!</v>
      </c>
      <c r="B35" s="62" t="str">
        <f t="array" ref="B35:B36">IFERROR(INDEX('Daily Ledger'!$D$5:$D$304,IFERROR(SMALL(IF(('Daily Ledger'!$B$5:$B$304="INCOME")*('Daily Ledger'!$G$5:$G$304&gt;0),ROW('Daily Ledger'!$B$5:$B$304)-4),30),"")),"")</f>
        <v>#REF!</v>
      </c>
      <c r="C35" s="63" t="str">
        <f t="array" ref="C35:C36">IFERROR(INDEX('Daily Ledger'!$E$5:$E$304,IFERROR(SMALL(IF(('Daily Ledger'!$B$5:$B$304="INCOME")*('Daily Ledger'!$G$5:$G$304&gt;0),ROW('Daily Ledger'!$B$5:$B$304)-4),30),"")),"")</f>
        <v>#REF!</v>
      </c>
      <c r="D35" s="63" t="str">
        <f t="array" ref="D35:D36">IFERROR(INDEX('Daily Ledger'!$F$5:$F$304,IFERROR(SMALL(IF(('Daily Ledger'!$B$5:$B$304="INCOME")*('Daily Ledger'!$G$5:$G$304&gt;0),ROW('Daily Ledger'!$B$5:$B$304)-4),30),"")),"")</f>
        <v>#REF!</v>
      </c>
      <c r="E35" s="60" t="str">
        <f t="array" ref="E35:E36">IFERROR(INDEX('Daily Ledger'!$G$5:$G$304,IFERROR(SMALL(IF(('Daily Ledger'!$B$5:$B$304="INCOME")*('Daily Ledger'!$G$5:$G$304&gt;0),ROW('Daily Ledger'!$B$5:$B$304)-4),30),"")),"")</f>
        <v>#REF!</v>
      </c>
      <c r="F35" s="64" t="str">
        <f t="array" ref="F35:F36">IFERROR(INDEX('Daily Ledger'!$H$5:$H$304,IFERROR(SMALL(IF(('Daily Ledger'!$B$5:$B$304="INCOME")*('Daily Ledger'!$G$5:$G$304&gt;0),ROW('Daily Ledger'!$B$5:$B$304)-4),30),"")),"")</f>
        <v>#REF!</v>
      </c>
    </row>
    <row r="36" ht="19.5" customHeight="1">
      <c r="A36" s="32" t="str">
        <f t="array" ref="A36:A37">IFERROR(INDEX('Daily Ledger'!$A$5:$A$304,IFERROR(SMALL(IF(('Daily Ledger'!$B$5:$B$304="INCOME")*('Daily Ledger'!$G$5:$G$304&gt;0),ROW('Daily Ledger'!$B$5:$B$304)-4),31),"")),"")</f>
        <v>#REF!</v>
      </c>
      <c r="B36" s="58" t="str">
        <f t="array" ref="B36:B37">IFERROR(INDEX('Daily Ledger'!$D$5:$D$304,IFERROR(SMALL(IF(('Daily Ledger'!$B$5:$B$304="INCOME")*('Daily Ledger'!$G$5:$G$304&gt;0),ROW('Daily Ledger'!$B$5:$B$304)-4),31),"")),"")</f>
        <v>#REF!</v>
      </c>
      <c r="C36" s="59" t="str">
        <f t="array" ref="C36:C37">IFERROR(INDEX('Daily Ledger'!$E$5:$E$304,IFERROR(SMALL(IF(('Daily Ledger'!$B$5:$B$304="INCOME")*('Daily Ledger'!$G$5:$G$304&gt;0),ROW('Daily Ledger'!$B$5:$B$304)-4),31),"")),"")</f>
        <v>#REF!</v>
      </c>
      <c r="D36" s="59" t="str">
        <f t="array" ref="D36:D37">IFERROR(INDEX('Daily Ledger'!$F$5:$F$304,IFERROR(SMALL(IF(('Daily Ledger'!$B$5:$B$304="INCOME")*('Daily Ledger'!$G$5:$G$304&gt;0),ROW('Daily Ledger'!$B$5:$B$304)-4),31),"")),"")</f>
        <v>#REF!</v>
      </c>
      <c r="E36" s="60" t="str">
        <f t="array" ref="E36:E37">IFERROR(INDEX('Daily Ledger'!$G$5:$G$304,IFERROR(SMALL(IF(('Daily Ledger'!$B$5:$B$304="INCOME")*('Daily Ledger'!$G$5:$G$304&gt;0),ROW('Daily Ledger'!$B$5:$B$304)-4),31),"")),"")</f>
        <v>#REF!</v>
      </c>
      <c r="F36" s="61" t="str">
        <f t="array" ref="F36:F37">IFERROR(INDEX('Daily Ledger'!$H$5:$H$304,IFERROR(SMALL(IF(('Daily Ledger'!$B$5:$B$304="INCOME")*('Daily Ledger'!$G$5:$G$304&gt;0),ROW('Daily Ledger'!$B$5:$B$304)-4),31),"")),"")</f>
        <v>#REF!</v>
      </c>
    </row>
    <row r="37" ht="19.5" customHeight="1">
      <c r="A37" s="38" t="str">
        <f t="array" ref="A37:A38">IFERROR(INDEX('Daily Ledger'!$A$5:$A$304,IFERROR(SMALL(IF(('Daily Ledger'!$B$5:$B$304="INCOME")*('Daily Ledger'!$G$5:$G$304&gt;0),ROW('Daily Ledger'!$B$5:$B$304)-4),32),"")),"")</f>
        <v>#REF!</v>
      </c>
      <c r="B37" s="62" t="str">
        <f t="array" ref="B37:B38">IFERROR(INDEX('Daily Ledger'!$D$5:$D$304,IFERROR(SMALL(IF(('Daily Ledger'!$B$5:$B$304="INCOME")*('Daily Ledger'!$G$5:$G$304&gt;0),ROW('Daily Ledger'!$B$5:$B$304)-4),32),"")),"")</f>
        <v>#REF!</v>
      </c>
      <c r="C37" s="63" t="str">
        <f t="array" ref="C37:C38">IFERROR(INDEX('Daily Ledger'!$E$5:$E$304,IFERROR(SMALL(IF(('Daily Ledger'!$B$5:$B$304="INCOME")*('Daily Ledger'!$G$5:$G$304&gt;0),ROW('Daily Ledger'!$B$5:$B$304)-4),32),"")),"")</f>
        <v>#REF!</v>
      </c>
      <c r="D37" s="63" t="str">
        <f t="array" ref="D37:D38">IFERROR(INDEX('Daily Ledger'!$F$5:$F$304,IFERROR(SMALL(IF(('Daily Ledger'!$B$5:$B$304="INCOME")*('Daily Ledger'!$G$5:$G$304&gt;0),ROW('Daily Ledger'!$B$5:$B$304)-4),32),"")),"")</f>
        <v>#REF!</v>
      </c>
      <c r="E37" s="60" t="str">
        <f t="array" ref="E37:E38">IFERROR(INDEX('Daily Ledger'!$G$5:$G$304,IFERROR(SMALL(IF(('Daily Ledger'!$B$5:$B$304="INCOME")*('Daily Ledger'!$G$5:$G$304&gt;0),ROW('Daily Ledger'!$B$5:$B$304)-4),32),"")),"")</f>
        <v>#REF!</v>
      </c>
      <c r="F37" s="64" t="str">
        <f t="array" ref="F37:F38">IFERROR(INDEX('Daily Ledger'!$H$5:$H$304,IFERROR(SMALL(IF(('Daily Ledger'!$B$5:$B$304="INCOME")*('Daily Ledger'!$G$5:$G$304&gt;0),ROW('Daily Ledger'!$B$5:$B$304)-4),32),"")),"")</f>
        <v>#REF!</v>
      </c>
    </row>
    <row r="38" ht="19.5" customHeight="1">
      <c r="A38" s="32" t="str">
        <f t="array" ref="A38:A39">IFERROR(INDEX('Daily Ledger'!$A$5:$A$304,IFERROR(SMALL(IF(('Daily Ledger'!$B$5:$B$304="INCOME")*('Daily Ledger'!$G$5:$G$304&gt;0),ROW('Daily Ledger'!$B$5:$B$304)-4),33),"")),"")</f>
        <v>#REF!</v>
      </c>
      <c r="B38" s="58" t="str">
        <f t="array" ref="B38:B39">IFERROR(INDEX('Daily Ledger'!$D$5:$D$304,IFERROR(SMALL(IF(('Daily Ledger'!$B$5:$B$304="INCOME")*('Daily Ledger'!$G$5:$G$304&gt;0),ROW('Daily Ledger'!$B$5:$B$304)-4),33),"")),"")</f>
        <v>#REF!</v>
      </c>
      <c r="C38" s="59" t="str">
        <f t="array" ref="C38:C39">IFERROR(INDEX('Daily Ledger'!$E$5:$E$304,IFERROR(SMALL(IF(('Daily Ledger'!$B$5:$B$304="INCOME")*('Daily Ledger'!$G$5:$G$304&gt;0),ROW('Daily Ledger'!$B$5:$B$304)-4),33),"")),"")</f>
        <v>#REF!</v>
      </c>
      <c r="D38" s="59" t="str">
        <f t="array" ref="D38:D39">IFERROR(INDEX('Daily Ledger'!$F$5:$F$304,IFERROR(SMALL(IF(('Daily Ledger'!$B$5:$B$304="INCOME")*('Daily Ledger'!$G$5:$G$304&gt;0),ROW('Daily Ledger'!$B$5:$B$304)-4),33),"")),"")</f>
        <v>#REF!</v>
      </c>
      <c r="E38" s="60" t="str">
        <f t="array" ref="E38:E39">IFERROR(INDEX('Daily Ledger'!$G$5:$G$304,IFERROR(SMALL(IF(('Daily Ledger'!$B$5:$B$304="INCOME")*('Daily Ledger'!$G$5:$G$304&gt;0),ROW('Daily Ledger'!$B$5:$B$304)-4),33),"")),"")</f>
        <v>#REF!</v>
      </c>
      <c r="F38" s="61" t="str">
        <f t="array" ref="F38:F39">IFERROR(INDEX('Daily Ledger'!$H$5:$H$304,IFERROR(SMALL(IF(('Daily Ledger'!$B$5:$B$304="INCOME")*('Daily Ledger'!$G$5:$G$304&gt;0),ROW('Daily Ledger'!$B$5:$B$304)-4),33),"")),"")</f>
        <v>#REF!</v>
      </c>
    </row>
    <row r="39" ht="19.5" customHeight="1">
      <c r="A39" s="38" t="str">
        <f t="array" ref="A39:A40">IFERROR(INDEX('Daily Ledger'!$A$5:$A$304,IFERROR(SMALL(IF(('Daily Ledger'!$B$5:$B$304="INCOME")*('Daily Ledger'!$G$5:$G$304&gt;0),ROW('Daily Ledger'!$B$5:$B$304)-4),34),"")),"")</f>
        <v>#REF!</v>
      </c>
      <c r="B39" s="62" t="str">
        <f t="array" ref="B39:B40">IFERROR(INDEX('Daily Ledger'!$D$5:$D$304,IFERROR(SMALL(IF(('Daily Ledger'!$B$5:$B$304="INCOME")*('Daily Ledger'!$G$5:$G$304&gt;0),ROW('Daily Ledger'!$B$5:$B$304)-4),34),"")),"")</f>
        <v>#REF!</v>
      </c>
      <c r="C39" s="63" t="str">
        <f t="array" ref="C39:C40">IFERROR(INDEX('Daily Ledger'!$E$5:$E$304,IFERROR(SMALL(IF(('Daily Ledger'!$B$5:$B$304="INCOME")*('Daily Ledger'!$G$5:$G$304&gt;0),ROW('Daily Ledger'!$B$5:$B$304)-4),34),"")),"")</f>
        <v>#REF!</v>
      </c>
      <c r="D39" s="63" t="str">
        <f t="array" ref="D39:D40">IFERROR(INDEX('Daily Ledger'!$F$5:$F$304,IFERROR(SMALL(IF(('Daily Ledger'!$B$5:$B$304="INCOME")*('Daily Ledger'!$G$5:$G$304&gt;0),ROW('Daily Ledger'!$B$5:$B$304)-4),34),"")),"")</f>
        <v>#REF!</v>
      </c>
      <c r="E39" s="60" t="str">
        <f t="array" ref="E39:E40">IFERROR(INDEX('Daily Ledger'!$G$5:$G$304,IFERROR(SMALL(IF(('Daily Ledger'!$B$5:$B$304="INCOME")*('Daily Ledger'!$G$5:$G$304&gt;0),ROW('Daily Ledger'!$B$5:$B$304)-4),34),"")),"")</f>
        <v>#REF!</v>
      </c>
      <c r="F39" s="64" t="str">
        <f t="array" ref="F39:F40">IFERROR(INDEX('Daily Ledger'!$H$5:$H$304,IFERROR(SMALL(IF(('Daily Ledger'!$B$5:$B$304="INCOME")*('Daily Ledger'!$G$5:$G$304&gt;0),ROW('Daily Ledger'!$B$5:$B$304)-4),34),"")),"")</f>
        <v>#REF!</v>
      </c>
    </row>
    <row r="40" ht="19.5" customHeight="1">
      <c r="A40" s="32" t="str">
        <f t="array" ref="A40:A41">IFERROR(INDEX('Daily Ledger'!$A$5:$A$304,IFERROR(SMALL(IF(('Daily Ledger'!$B$5:$B$304="INCOME")*('Daily Ledger'!$G$5:$G$304&gt;0),ROW('Daily Ledger'!$B$5:$B$304)-4),35),"")),"")</f>
        <v>#REF!</v>
      </c>
      <c r="B40" s="58" t="str">
        <f t="array" ref="B40:B41">IFERROR(INDEX('Daily Ledger'!$D$5:$D$304,IFERROR(SMALL(IF(('Daily Ledger'!$B$5:$B$304="INCOME")*('Daily Ledger'!$G$5:$G$304&gt;0),ROW('Daily Ledger'!$B$5:$B$304)-4),35),"")),"")</f>
        <v>#REF!</v>
      </c>
      <c r="C40" s="59" t="str">
        <f t="array" ref="C40:C41">IFERROR(INDEX('Daily Ledger'!$E$5:$E$304,IFERROR(SMALL(IF(('Daily Ledger'!$B$5:$B$304="INCOME")*('Daily Ledger'!$G$5:$G$304&gt;0),ROW('Daily Ledger'!$B$5:$B$304)-4),35),"")),"")</f>
        <v>#REF!</v>
      </c>
      <c r="D40" s="59" t="str">
        <f t="array" ref="D40:D41">IFERROR(INDEX('Daily Ledger'!$F$5:$F$304,IFERROR(SMALL(IF(('Daily Ledger'!$B$5:$B$304="INCOME")*('Daily Ledger'!$G$5:$G$304&gt;0),ROW('Daily Ledger'!$B$5:$B$304)-4),35),"")),"")</f>
        <v>#REF!</v>
      </c>
      <c r="E40" s="60" t="str">
        <f t="array" ref="E40:E41">IFERROR(INDEX('Daily Ledger'!$G$5:$G$304,IFERROR(SMALL(IF(('Daily Ledger'!$B$5:$B$304="INCOME")*('Daily Ledger'!$G$5:$G$304&gt;0),ROW('Daily Ledger'!$B$5:$B$304)-4),35),"")),"")</f>
        <v>#REF!</v>
      </c>
      <c r="F40" s="61" t="str">
        <f t="array" ref="F40:F41">IFERROR(INDEX('Daily Ledger'!$H$5:$H$304,IFERROR(SMALL(IF(('Daily Ledger'!$B$5:$B$304="INCOME")*('Daily Ledger'!$G$5:$G$304&gt;0),ROW('Daily Ledger'!$B$5:$B$304)-4),35),"")),"")</f>
        <v>#REF!</v>
      </c>
    </row>
    <row r="41" ht="19.5" customHeight="1">
      <c r="A41" s="38" t="str">
        <f t="array" ref="A41:A42">IFERROR(INDEX('Daily Ledger'!$A$5:$A$304,IFERROR(SMALL(IF(('Daily Ledger'!$B$5:$B$304="INCOME")*('Daily Ledger'!$G$5:$G$304&gt;0),ROW('Daily Ledger'!$B$5:$B$304)-4),36),"")),"")</f>
        <v>#REF!</v>
      </c>
      <c r="B41" s="62" t="str">
        <f t="array" ref="B41:B42">IFERROR(INDEX('Daily Ledger'!$D$5:$D$304,IFERROR(SMALL(IF(('Daily Ledger'!$B$5:$B$304="INCOME")*('Daily Ledger'!$G$5:$G$304&gt;0),ROW('Daily Ledger'!$B$5:$B$304)-4),36),"")),"")</f>
        <v>#REF!</v>
      </c>
      <c r="C41" s="63" t="str">
        <f t="array" ref="C41:C42">IFERROR(INDEX('Daily Ledger'!$E$5:$E$304,IFERROR(SMALL(IF(('Daily Ledger'!$B$5:$B$304="INCOME")*('Daily Ledger'!$G$5:$G$304&gt;0),ROW('Daily Ledger'!$B$5:$B$304)-4),36),"")),"")</f>
        <v>#REF!</v>
      </c>
      <c r="D41" s="63" t="str">
        <f t="array" ref="D41:D42">IFERROR(INDEX('Daily Ledger'!$F$5:$F$304,IFERROR(SMALL(IF(('Daily Ledger'!$B$5:$B$304="INCOME")*('Daily Ledger'!$G$5:$G$304&gt;0),ROW('Daily Ledger'!$B$5:$B$304)-4),36),"")),"")</f>
        <v>#REF!</v>
      </c>
      <c r="E41" s="60" t="str">
        <f t="array" ref="E41:E42">IFERROR(INDEX('Daily Ledger'!$G$5:$G$304,IFERROR(SMALL(IF(('Daily Ledger'!$B$5:$B$304="INCOME")*('Daily Ledger'!$G$5:$G$304&gt;0),ROW('Daily Ledger'!$B$5:$B$304)-4),36),"")),"")</f>
        <v>#REF!</v>
      </c>
      <c r="F41" s="64" t="str">
        <f t="array" ref="F41:F42">IFERROR(INDEX('Daily Ledger'!$H$5:$H$304,IFERROR(SMALL(IF(('Daily Ledger'!$B$5:$B$304="INCOME")*('Daily Ledger'!$G$5:$G$304&gt;0),ROW('Daily Ledger'!$B$5:$B$304)-4),36),"")),"")</f>
        <v>#REF!</v>
      </c>
    </row>
    <row r="42" ht="19.5" customHeight="1">
      <c r="A42" s="32" t="str">
        <f t="array" ref="A42:A43">IFERROR(INDEX('Daily Ledger'!$A$5:$A$304,IFERROR(SMALL(IF(('Daily Ledger'!$B$5:$B$304="INCOME")*('Daily Ledger'!$G$5:$G$304&gt;0),ROW('Daily Ledger'!$B$5:$B$304)-4),37),"")),"")</f>
        <v>#REF!</v>
      </c>
      <c r="B42" s="58" t="str">
        <f t="array" ref="B42:B43">IFERROR(INDEX('Daily Ledger'!$D$5:$D$304,IFERROR(SMALL(IF(('Daily Ledger'!$B$5:$B$304="INCOME")*('Daily Ledger'!$G$5:$G$304&gt;0),ROW('Daily Ledger'!$B$5:$B$304)-4),37),"")),"")</f>
        <v>#REF!</v>
      </c>
      <c r="C42" s="59" t="str">
        <f t="array" ref="C42:C43">IFERROR(INDEX('Daily Ledger'!$E$5:$E$304,IFERROR(SMALL(IF(('Daily Ledger'!$B$5:$B$304="INCOME")*('Daily Ledger'!$G$5:$G$304&gt;0),ROW('Daily Ledger'!$B$5:$B$304)-4),37),"")),"")</f>
        <v>#REF!</v>
      </c>
      <c r="D42" s="59" t="str">
        <f t="array" ref="D42:D43">IFERROR(INDEX('Daily Ledger'!$F$5:$F$304,IFERROR(SMALL(IF(('Daily Ledger'!$B$5:$B$304="INCOME")*('Daily Ledger'!$G$5:$G$304&gt;0),ROW('Daily Ledger'!$B$5:$B$304)-4),37),"")),"")</f>
        <v>#REF!</v>
      </c>
      <c r="E42" s="60" t="str">
        <f t="array" ref="E42:E43">IFERROR(INDEX('Daily Ledger'!$G$5:$G$304,IFERROR(SMALL(IF(('Daily Ledger'!$B$5:$B$304="INCOME")*('Daily Ledger'!$G$5:$G$304&gt;0),ROW('Daily Ledger'!$B$5:$B$304)-4),37),"")),"")</f>
        <v>#REF!</v>
      </c>
      <c r="F42" s="61" t="str">
        <f t="array" ref="F42:F43">IFERROR(INDEX('Daily Ledger'!$H$5:$H$304,IFERROR(SMALL(IF(('Daily Ledger'!$B$5:$B$304="INCOME")*('Daily Ledger'!$G$5:$G$304&gt;0),ROW('Daily Ledger'!$B$5:$B$304)-4),37),"")),"")</f>
        <v>#REF!</v>
      </c>
    </row>
    <row r="43" ht="19.5" customHeight="1">
      <c r="A43" s="38" t="str">
        <f t="array" ref="A43:A44">IFERROR(INDEX('Daily Ledger'!$A$5:$A$304,IFERROR(SMALL(IF(('Daily Ledger'!$B$5:$B$304="INCOME")*('Daily Ledger'!$G$5:$G$304&gt;0),ROW('Daily Ledger'!$B$5:$B$304)-4),38),"")),"")</f>
        <v>#REF!</v>
      </c>
      <c r="B43" s="62" t="str">
        <f t="array" ref="B43:B44">IFERROR(INDEX('Daily Ledger'!$D$5:$D$304,IFERROR(SMALL(IF(('Daily Ledger'!$B$5:$B$304="INCOME")*('Daily Ledger'!$G$5:$G$304&gt;0),ROW('Daily Ledger'!$B$5:$B$304)-4),38),"")),"")</f>
        <v>#REF!</v>
      </c>
      <c r="C43" s="63" t="str">
        <f t="array" ref="C43:C44">IFERROR(INDEX('Daily Ledger'!$E$5:$E$304,IFERROR(SMALL(IF(('Daily Ledger'!$B$5:$B$304="INCOME")*('Daily Ledger'!$G$5:$G$304&gt;0),ROW('Daily Ledger'!$B$5:$B$304)-4),38),"")),"")</f>
        <v>#REF!</v>
      </c>
      <c r="D43" s="63" t="str">
        <f t="array" ref="D43:D44">IFERROR(INDEX('Daily Ledger'!$F$5:$F$304,IFERROR(SMALL(IF(('Daily Ledger'!$B$5:$B$304="INCOME")*('Daily Ledger'!$G$5:$G$304&gt;0),ROW('Daily Ledger'!$B$5:$B$304)-4),38),"")),"")</f>
        <v>#REF!</v>
      </c>
      <c r="E43" s="60" t="str">
        <f t="array" ref="E43:E44">IFERROR(INDEX('Daily Ledger'!$G$5:$G$304,IFERROR(SMALL(IF(('Daily Ledger'!$B$5:$B$304="INCOME")*('Daily Ledger'!$G$5:$G$304&gt;0),ROW('Daily Ledger'!$B$5:$B$304)-4),38),"")),"")</f>
        <v>#REF!</v>
      </c>
      <c r="F43" s="64" t="str">
        <f t="array" ref="F43:F44">IFERROR(INDEX('Daily Ledger'!$H$5:$H$304,IFERROR(SMALL(IF(('Daily Ledger'!$B$5:$B$304="INCOME")*('Daily Ledger'!$G$5:$G$304&gt;0),ROW('Daily Ledger'!$B$5:$B$304)-4),38),"")),"")</f>
        <v>#REF!</v>
      </c>
    </row>
    <row r="44" ht="19.5" customHeight="1">
      <c r="A44" s="32" t="str">
        <f t="array" ref="A44:A45">IFERROR(INDEX('Daily Ledger'!$A$5:$A$304,IFERROR(SMALL(IF(('Daily Ledger'!$B$5:$B$304="INCOME")*('Daily Ledger'!$G$5:$G$304&gt;0),ROW('Daily Ledger'!$B$5:$B$304)-4),39),"")),"")</f>
        <v>#REF!</v>
      </c>
      <c r="B44" s="58" t="str">
        <f t="array" ref="B44:B45">IFERROR(INDEX('Daily Ledger'!$D$5:$D$304,IFERROR(SMALL(IF(('Daily Ledger'!$B$5:$B$304="INCOME")*('Daily Ledger'!$G$5:$G$304&gt;0),ROW('Daily Ledger'!$B$5:$B$304)-4),39),"")),"")</f>
        <v>#REF!</v>
      </c>
      <c r="C44" s="59" t="str">
        <f t="array" ref="C44:C45">IFERROR(INDEX('Daily Ledger'!$E$5:$E$304,IFERROR(SMALL(IF(('Daily Ledger'!$B$5:$B$304="INCOME")*('Daily Ledger'!$G$5:$G$304&gt;0),ROW('Daily Ledger'!$B$5:$B$304)-4),39),"")),"")</f>
        <v>#REF!</v>
      </c>
      <c r="D44" s="59" t="str">
        <f t="array" ref="D44:D45">IFERROR(INDEX('Daily Ledger'!$F$5:$F$304,IFERROR(SMALL(IF(('Daily Ledger'!$B$5:$B$304="INCOME")*('Daily Ledger'!$G$5:$G$304&gt;0),ROW('Daily Ledger'!$B$5:$B$304)-4),39),"")),"")</f>
        <v>#REF!</v>
      </c>
      <c r="E44" s="60" t="str">
        <f t="array" ref="E44:E45">IFERROR(INDEX('Daily Ledger'!$G$5:$G$304,IFERROR(SMALL(IF(('Daily Ledger'!$B$5:$B$304="INCOME")*('Daily Ledger'!$G$5:$G$304&gt;0),ROW('Daily Ledger'!$B$5:$B$304)-4),39),"")),"")</f>
        <v>#REF!</v>
      </c>
      <c r="F44" s="61" t="str">
        <f t="array" ref="F44:F45">IFERROR(INDEX('Daily Ledger'!$H$5:$H$304,IFERROR(SMALL(IF(('Daily Ledger'!$B$5:$B$304="INCOME")*('Daily Ledger'!$G$5:$G$304&gt;0),ROW('Daily Ledger'!$B$5:$B$304)-4),39),"")),"")</f>
        <v>#REF!</v>
      </c>
    </row>
    <row r="45" ht="19.5" customHeight="1">
      <c r="A45" s="38" t="str">
        <f t="array" ref="A45:A46">IFERROR(INDEX('Daily Ledger'!$A$5:$A$304,IFERROR(SMALL(IF(('Daily Ledger'!$B$5:$B$304="INCOME")*('Daily Ledger'!$G$5:$G$304&gt;0),ROW('Daily Ledger'!$B$5:$B$304)-4),40),"")),"")</f>
        <v>#REF!</v>
      </c>
      <c r="B45" s="62" t="str">
        <f t="array" ref="B45:B46">IFERROR(INDEX('Daily Ledger'!$D$5:$D$304,IFERROR(SMALL(IF(('Daily Ledger'!$B$5:$B$304="INCOME")*('Daily Ledger'!$G$5:$G$304&gt;0),ROW('Daily Ledger'!$B$5:$B$304)-4),40),"")),"")</f>
        <v>#REF!</v>
      </c>
      <c r="C45" s="63" t="str">
        <f t="array" ref="C45:C46">IFERROR(INDEX('Daily Ledger'!$E$5:$E$304,IFERROR(SMALL(IF(('Daily Ledger'!$B$5:$B$304="INCOME")*('Daily Ledger'!$G$5:$G$304&gt;0),ROW('Daily Ledger'!$B$5:$B$304)-4),40),"")),"")</f>
        <v>#REF!</v>
      </c>
      <c r="D45" s="63" t="str">
        <f t="array" ref="D45:D46">IFERROR(INDEX('Daily Ledger'!$F$5:$F$304,IFERROR(SMALL(IF(('Daily Ledger'!$B$5:$B$304="INCOME")*('Daily Ledger'!$G$5:$G$304&gt;0),ROW('Daily Ledger'!$B$5:$B$304)-4),40),"")),"")</f>
        <v>#REF!</v>
      </c>
      <c r="E45" s="60" t="str">
        <f t="array" ref="E45:E46">IFERROR(INDEX('Daily Ledger'!$G$5:$G$304,IFERROR(SMALL(IF(('Daily Ledger'!$B$5:$B$304="INCOME")*('Daily Ledger'!$G$5:$G$304&gt;0),ROW('Daily Ledger'!$B$5:$B$304)-4),40),"")),"")</f>
        <v>#REF!</v>
      </c>
      <c r="F45" s="64" t="str">
        <f t="array" ref="F45:F46">IFERROR(INDEX('Daily Ledger'!$H$5:$H$304,IFERROR(SMALL(IF(('Daily Ledger'!$B$5:$B$304="INCOME")*('Daily Ledger'!$G$5:$G$304&gt;0),ROW('Daily Ledger'!$B$5:$B$304)-4),40),"")),"")</f>
        <v>#REF!</v>
      </c>
    </row>
    <row r="46" ht="19.5" customHeight="1">
      <c r="A46" s="32" t="str">
        <f t="array" ref="A46:A47">IFERROR(INDEX('Daily Ledger'!$A$5:$A$304,IFERROR(SMALL(IF(('Daily Ledger'!$B$5:$B$304="INCOME")*('Daily Ledger'!$G$5:$G$304&gt;0),ROW('Daily Ledger'!$B$5:$B$304)-4),41),"")),"")</f>
        <v>#REF!</v>
      </c>
      <c r="B46" s="58" t="str">
        <f t="array" ref="B46:B47">IFERROR(INDEX('Daily Ledger'!$D$5:$D$304,IFERROR(SMALL(IF(('Daily Ledger'!$B$5:$B$304="INCOME")*('Daily Ledger'!$G$5:$G$304&gt;0),ROW('Daily Ledger'!$B$5:$B$304)-4),41),"")),"")</f>
        <v>#REF!</v>
      </c>
      <c r="C46" s="59" t="str">
        <f t="array" ref="C46:C47">IFERROR(INDEX('Daily Ledger'!$E$5:$E$304,IFERROR(SMALL(IF(('Daily Ledger'!$B$5:$B$304="INCOME")*('Daily Ledger'!$G$5:$G$304&gt;0),ROW('Daily Ledger'!$B$5:$B$304)-4),41),"")),"")</f>
        <v>#REF!</v>
      </c>
      <c r="D46" s="59" t="str">
        <f t="array" ref="D46:D47">IFERROR(INDEX('Daily Ledger'!$F$5:$F$304,IFERROR(SMALL(IF(('Daily Ledger'!$B$5:$B$304="INCOME")*('Daily Ledger'!$G$5:$G$304&gt;0),ROW('Daily Ledger'!$B$5:$B$304)-4),41),"")),"")</f>
        <v>#REF!</v>
      </c>
      <c r="E46" s="60" t="str">
        <f t="array" ref="E46:E47">IFERROR(INDEX('Daily Ledger'!$G$5:$G$304,IFERROR(SMALL(IF(('Daily Ledger'!$B$5:$B$304="INCOME")*('Daily Ledger'!$G$5:$G$304&gt;0),ROW('Daily Ledger'!$B$5:$B$304)-4),41),"")),"")</f>
        <v>#REF!</v>
      </c>
      <c r="F46" s="61" t="str">
        <f t="array" ref="F46:F47">IFERROR(INDEX('Daily Ledger'!$H$5:$H$304,IFERROR(SMALL(IF(('Daily Ledger'!$B$5:$B$304="INCOME")*('Daily Ledger'!$G$5:$G$304&gt;0),ROW('Daily Ledger'!$B$5:$B$304)-4),41),"")),"")</f>
        <v>#REF!</v>
      </c>
    </row>
    <row r="47" ht="19.5" customHeight="1">
      <c r="A47" s="38" t="str">
        <f t="array" ref="A47:A48">IFERROR(INDEX('Daily Ledger'!$A$5:$A$304,IFERROR(SMALL(IF(('Daily Ledger'!$B$5:$B$304="INCOME")*('Daily Ledger'!$G$5:$G$304&gt;0),ROW('Daily Ledger'!$B$5:$B$304)-4),42),"")),"")</f>
        <v>#REF!</v>
      </c>
      <c r="B47" s="62" t="str">
        <f t="array" ref="B47:B48">IFERROR(INDEX('Daily Ledger'!$D$5:$D$304,IFERROR(SMALL(IF(('Daily Ledger'!$B$5:$B$304="INCOME")*('Daily Ledger'!$G$5:$G$304&gt;0),ROW('Daily Ledger'!$B$5:$B$304)-4),42),"")),"")</f>
        <v>#REF!</v>
      </c>
      <c r="C47" s="63" t="str">
        <f t="array" ref="C47:C48">IFERROR(INDEX('Daily Ledger'!$E$5:$E$304,IFERROR(SMALL(IF(('Daily Ledger'!$B$5:$B$304="INCOME")*('Daily Ledger'!$G$5:$G$304&gt;0),ROW('Daily Ledger'!$B$5:$B$304)-4),42),"")),"")</f>
        <v>#REF!</v>
      </c>
      <c r="D47" s="63" t="str">
        <f t="array" ref="D47:D48">IFERROR(INDEX('Daily Ledger'!$F$5:$F$304,IFERROR(SMALL(IF(('Daily Ledger'!$B$5:$B$304="INCOME")*('Daily Ledger'!$G$5:$G$304&gt;0),ROW('Daily Ledger'!$B$5:$B$304)-4),42),"")),"")</f>
        <v>#REF!</v>
      </c>
      <c r="E47" s="60" t="str">
        <f t="array" ref="E47:E48">IFERROR(INDEX('Daily Ledger'!$G$5:$G$304,IFERROR(SMALL(IF(('Daily Ledger'!$B$5:$B$304="INCOME")*('Daily Ledger'!$G$5:$G$304&gt;0),ROW('Daily Ledger'!$B$5:$B$304)-4),42),"")),"")</f>
        <v>#REF!</v>
      </c>
      <c r="F47" s="64" t="str">
        <f t="array" ref="F47:F48">IFERROR(INDEX('Daily Ledger'!$H$5:$H$304,IFERROR(SMALL(IF(('Daily Ledger'!$B$5:$B$304="INCOME")*('Daily Ledger'!$G$5:$G$304&gt;0),ROW('Daily Ledger'!$B$5:$B$304)-4),42),"")),"")</f>
        <v>#REF!</v>
      </c>
    </row>
    <row r="48" ht="19.5" customHeight="1">
      <c r="A48" s="32" t="str">
        <f t="array" ref="A48:A49">IFERROR(INDEX('Daily Ledger'!$A$5:$A$304,IFERROR(SMALL(IF(('Daily Ledger'!$B$5:$B$304="INCOME")*('Daily Ledger'!$G$5:$G$304&gt;0),ROW('Daily Ledger'!$B$5:$B$304)-4),43),"")),"")</f>
        <v>#REF!</v>
      </c>
      <c r="B48" s="58" t="str">
        <f t="array" ref="B48:B49">IFERROR(INDEX('Daily Ledger'!$D$5:$D$304,IFERROR(SMALL(IF(('Daily Ledger'!$B$5:$B$304="INCOME")*('Daily Ledger'!$G$5:$G$304&gt;0),ROW('Daily Ledger'!$B$5:$B$304)-4),43),"")),"")</f>
        <v>#REF!</v>
      </c>
      <c r="C48" s="59" t="str">
        <f t="array" ref="C48:C49">IFERROR(INDEX('Daily Ledger'!$E$5:$E$304,IFERROR(SMALL(IF(('Daily Ledger'!$B$5:$B$304="INCOME")*('Daily Ledger'!$G$5:$G$304&gt;0),ROW('Daily Ledger'!$B$5:$B$304)-4),43),"")),"")</f>
        <v>#REF!</v>
      </c>
      <c r="D48" s="59" t="str">
        <f t="array" ref="D48:D49">IFERROR(INDEX('Daily Ledger'!$F$5:$F$304,IFERROR(SMALL(IF(('Daily Ledger'!$B$5:$B$304="INCOME")*('Daily Ledger'!$G$5:$G$304&gt;0),ROW('Daily Ledger'!$B$5:$B$304)-4),43),"")),"")</f>
        <v>#REF!</v>
      </c>
      <c r="E48" s="60" t="str">
        <f t="array" ref="E48:E49">IFERROR(INDEX('Daily Ledger'!$G$5:$G$304,IFERROR(SMALL(IF(('Daily Ledger'!$B$5:$B$304="INCOME")*('Daily Ledger'!$G$5:$G$304&gt;0),ROW('Daily Ledger'!$B$5:$B$304)-4),43),"")),"")</f>
        <v>#REF!</v>
      </c>
      <c r="F48" s="61" t="str">
        <f t="array" ref="F48:F49">IFERROR(INDEX('Daily Ledger'!$H$5:$H$304,IFERROR(SMALL(IF(('Daily Ledger'!$B$5:$B$304="INCOME")*('Daily Ledger'!$G$5:$G$304&gt;0),ROW('Daily Ledger'!$B$5:$B$304)-4),43),"")),"")</f>
        <v>#REF!</v>
      </c>
    </row>
    <row r="49" ht="19.5" customHeight="1">
      <c r="A49" s="38" t="str">
        <f t="array" ref="A49:A50">IFERROR(INDEX('Daily Ledger'!$A$5:$A$304,IFERROR(SMALL(IF(('Daily Ledger'!$B$5:$B$304="INCOME")*('Daily Ledger'!$G$5:$G$304&gt;0),ROW('Daily Ledger'!$B$5:$B$304)-4),44),"")),"")</f>
        <v>#REF!</v>
      </c>
      <c r="B49" s="62" t="str">
        <f t="array" ref="B49:B50">IFERROR(INDEX('Daily Ledger'!$D$5:$D$304,IFERROR(SMALL(IF(('Daily Ledger'!$B$5:$B$304="INCOME")*('Daily Ledger'!$G$5:$G$304&gt;0),ROW('Daily Ledger'!$B$5:$B$304)-4),44),"")),"")</f>
        <v>#REF!</v>
      </c>
      <c r="C49" s="63" t="str">
        <f t="array" ref="C49:C50">IFERROR(INDEX('Daily Ledger'!$E$5:$E$304,IFERROR(SMALL(IF(('Daily Ledger'!$B$5:$B$304="INCOME")*('Daily Ledger'!$G$5:$G$304&gt;0),ROW('Daily Ledger'!$B$5:$B$304)-4),44),"")),"")</f>
        <v>#REF!</v>
      </c>
      <c r="D49" s="63" t="str">
        <f t="array" ref="D49:D50">IFERROR(INDEX('Daily Ledger'!$F$5:$F$304,IFERROR(SMALL(IF(('Daily Ledger'!$B$5:$B$304="INCOME")*('Daily Ledger'!$G$5:$G$304&gt;0),ROW('Daily Ledger'!$B$5:$B$304)-4),44),"")),"")</f>
        <v>#REF!</v>
      </c>
      <c r="E49" s="60" t="str">
        <f t="array" ref="E49:E50">IFERROR(INDEX('Daily Ledger'!$G$5:$G$304,IFERROR(SMALL(IF(('Daily Ledger'!$B$5:$B$304="INCOME")*('Daily Ledger'!$G$5:$G$304&gt;0),ROW('Daily Ledger'!$B$5:$B$304)-4),44),"")),"")</f>
        <v>#REF!</v>
      </c>
      <c r="F49" s="64" t="str">
        <f t="array" ref="F49:F50">IFERROR(INDEX('Daily Ledger'!$H$5:$H$304,IFERROR(SMALL(IF(('Daily Ledger'!$B$5:$B$304="INCOME")*('Daily Ledger'!$G$5:$G$304&gt;0),ROW('Daily Ledger'!$B$5:$B$304)-4),44),"")),"")</f>
        <v>#REF!</v>
      </c>
    </row>
    <row r="50" ht="19.5" customHeight="1">
      <c r="A50" s="32" t="str">
        <f t="array" ref="A50:A51">IFERROR(INDEX('Daily Ledger'!$A$5:$A$304,IFERROR(SMALL(IF(('Daily Ledger'!$B$5:$B$304="INCOME")*('Daily Ledger'!$G$5:$G$304&gt;0),ROW('Daily Ledger'!$B$5:$B$304)-4),45),"")),"")</f>
        <v>#REF!</v>
      </c>
      <c r="B50" s="58" t="str">
        <f t="array" ref="B50:B51">IFERROR(INDEX('Daily Ledger'!$D$5:$D$304,IFERROR(SMALL(IF(('Daily Ledger'!$B$5:$B$304="INCOME")*('Daily Ledger'!$G$5:$G$304&gt;0),ROW('Daily Ledger'!$B$5:$B$304)-4),45),"")),"")</f>
        <v>#REF!</v>
      </c>
      <c r="C50" s="59" t="str">
        <f t="array" ref="C50:C51">IFERROR(INDEX('Daily Ledger'!$E$5:$E$304,IFERROR(SMALL(IF(('Daily Ledger'!$B$5:$B$304="INCOME")*('Daily Ledger'!$G$5:$G$304&gt;0),ROW('Daily Ledger'!$B$5:$B$304)-4),45),"")),"")</f>
        <v>#REF!</v>
      </c>
      <c r="D50" s="59" t="str">
        <f t="array" ref="D50:D51">IFERROR(INDEX('Daily Ledger'!$F$5:$F$304,IFERROR(SMALL(IF(('Daily Ledger'!$B$5:$B$304="INCOME")*('Daily Ledger'!$G$5:$G$304&gt;0),ROW('Daily Ledger'!$B$5:$B$304)-4),45),"")),"")</f>
        <v>#REF!</v>
      </c>
      <c r="E50" s="60" t="str">
        <f t="array" ref="E50:E51">IFERROR(INDEX('Daily Ledger'!$G$5:$G$304,IFERROR(SMALL(IF(('Daily Ledger'!$B$5:$B$304="INCOME")*('Daily Ledger'!$G$5:$G$304&gt;0),ROW('Daily Ledger'!$B$5:$B$304)-4),45),"")),"")</f>
        <v>#REF!</v>
      </c>
      <c r="F50" s="61" t="str">
        <f t="array" ref="F50:F51">IFERROR(INDEX('Daily Ledger'!$H$5:$H$304,IFERROR(SMALL(IF(('Daily Ledger'!$B$5:$B$304="INCOME")*('Daily Ledger'!$G$5:$G$304&gt;0),ROW('Daily Ledger'!$B$5:$B$304)-4),45),"")),"")</f>
        <v>#REF!</v>
      </c>
    </row>
    <row r="51" ht="19.5" customHeight="1">
      <c r="A51" s="38" t="str">
        <f t="array" ref="A51:A52">IFERROR(INDEX('Daily Ledger'!$A$5:$A$304,IFERROR(SMALL(IF(('Daily Ledger'!$B$5:$B$304="INCOME")*('Daily Ledger'!$G$5:$G$304&gt;0),ROW('Daily Ledger'!$B$5:$B$304)-4),46),"")),"")</f>
        <v>#REF!</v>
      </c>
      <c r="B51" s="62" t="str">
        <f t="array" ref="B51:B52">IFERROR(INDEX('Daily Ledger'!$D$5:$D$304,IFERROR(SMALL(IF(('Daily Ledger'!$B$5:$B$304="INCOME")*('Daily Ledger'!$G$5:$G$304&gt;0),ROW('Daily Ledger'!$B$5:$B$304)-4),46),"")),"")</f>
        <v>#REF!</v>
      </c>
      <c r="C51" s="63" t="str">
        <f t="array" ref="C51:C52">IFERROR(INDEX('Daily Ledger'!$E$5:$E$304,IFERROR(SMALL(IF(('Daily Ledger'!$B$5:$B$304="INCOME")*('Daily Ledger'!$G$5:$G$304&gt;0),ROW('Daily Ledger'!$B$5:$B$304)-4),46),"")),"")</f>
        <v>#REF!</v>
      </c>
      <c r="D51" s="63" t="str">
        <f t="array" ref="D51:D52">IFERROR(INDEX('Daily Ledger'!$F$5:$F$304,IFERROR(SMALL(IF(('Daily Ledger'!$B$5:$B$304="INCOME")*('Daily Ledger'!$G$5:$G$304&gt;0),ROW('Daily Ledger'!$B$5:$B$304)-4),46),"")),"")</f>
        <v>#REF!</v>
      </c>
      <c r="E51" s="60" t="str">
        <f t="array" ref="E51:E52">IFERROR(INDEX('Daily Ledger'!$G$5:$G$304,IFERROR(SMALL(IF(('Daily Ledger'!$B$5:$B$304="INCOME")*('Daily Ledger'!$G$5:$G$304&gt;0),ROW('Daily Ledger'!$B$5:$B$304)-4),46),"")),"")</f>
        <v>#REF!</v>
      </c>
      <c r="F51" s="64" t="str">
        <f t="array" ref="F51:F52">IFERROR(INDEX('Daily Ledger'!$H$5:$H$304,IFERROR(SMALL(IF(('Daily Ledger'!$B$5:$B$304="INCOME")*('Daily Ledger'!$G$5:$G$304&gt;0),ROW('Daily Ledger'!$B$5:$B$304)-4),46),"")),"")</f>
        <v>#REF!</v>
      </c>
    </row>
    <row r="52" ht="19.5" customHeight="1">
      <c r="A52" s="32" t="str">
        <f t="array" ref="A52:A53">IFERROR(INDEX('Daily Ledger'!$A$5:$A$304,IFERROR(SMALL(IF(('Daily Ledger'!$B$5:$B$304="INCOME")*('Daily Ledger'!$G$5:$G$304&gt;0),ROW('Daily Ledger'!$B$5:$B$304)-4),47),"")),"")</f>
        <v>#REF!</v>
      </c>
      <c r="B52" s="58" t="str">
        <f t="array" ref="B52:B53">IFERROR(INDEX('Daily Ledger'!$D$5:$D$304,IFERROR(SMALL(IF(('Daily Ledger'!$B$5:$B$304="INCOME")*('Daily Ledger'!$G$5:$G$304&gt;0),ROW('Daily Ledger'!$B$5:$B$304)-4),47),"")),"")</f>
        <v>#REF!</v>
      </c>
      <c r="C52" s="59" t="str">
        <f t="array" ref="C52:C53">IFERROR(INDEX('Daily Ledger'!$E$5:$E$304,IFERROR(SMALL(IF(('Daily Ledger'!$B$5:$B$304="INCOME")*('Daily Ledger'!$G$5:$G$304&gt;0),ROW('Daily Ledger'!$B$5:$B$304)-4),47),"")),"")</f>
        <v>#REF!</v>
      </c>
      <c r="D52" s="59" t="str">
        <f t="array" ref="D52:D53">IFERROR(INDEX('Daily Ledger'!$F$5:$F$304,IFERROR(SMALL(IF(('Daily Ledger'!$B$5:$B$304="INCOME")*('Daily Ledger'!$G$5:$G$304&gt;0),ROW('Daily Ledger'!$B$5:$B$304)-4),47),"")),"")</f>
        <v>#REF!</v>
      </c>
      <c r="E52" s="60" t="str">
        <f t="array" ref="E52:E53">IFERROR(INDEX('Daily Ledger'!$G$5:$G$304,IFERROR(SMALL(IF(('Daily Ledger'!$B$5:$B$304="INCOME")*('Daily Ledger'!$G$5:$G$304&gt;0),ROW('Daily Ledger'!$B$5:$B$304)-4),47),"")),"")</f>
        <v>#REF!</v>
      </c>
      <c r="F52" s="61" t="str">
        <f t="array" ref="F52:F53">IFERROR(INDEX('Daily Ledger'!$H$5:$H$304,IFERROR(SMALL(IF(('Daily Ledger'!$B$5:$B$304="INCOME")*('Daily Ledger'!$G$5:$G$304&gt;0),ROW('Daily Ledger'!$B$5:$B$304)-4),47),"")),"")</f>
        <v>#REF!</v>
      </c>
    </row>
    <row r="53" ht="19.5" customHeight="1">
      <c r="A53" s="38" t="str">
        <f t="array" ref="A53:A54">IFERROR(INDEX('Daily Ledger'!$A$5:$A$304,IFERROR(SMALL(IF(('Daily Ledger'!$B$5:$B$304="INCOME")*('Daily Ledger'!$G$5:$G$304&gt;0),ROW('Daily Ledger'!$B$5:$B$304)-4),48),"")),"")</f>
        <v>#REF!</v>
      </c>
      <c r="B53" s="62" t="str">
        <f t="array" ref="B53:B54">IFERROR(INDEX('Daily Ledger'!$D$5:$D$304,IFERROR(SMALL(IF(('Daily Ledger'!$B$5:$B$304="INCOME")*('Daily Ledger'!$G$5:$G$304&gt;0),ROW('Daily Ledger'!$B$5:$B$304)-4),48),"")),"")</f>
        <v>#REF!</v>
      </c>
      <c r="C53" s="63" t="str">
        <f t="array" ref="C53:C54">IFERROR(INDEX('Daily Ledger'!$E$5:$E$304,IFERROR(SMALL(IF(('Daily Ledger'!$B$5:$B$304="INCOME")*('Daily Ledger'!$G$5:$G$304&gt;0),ROW('Daily Ledger'!$B$5:$B$304)-4),48),"")),"")</f>
        <v>#REF!</v>
      </c>
      <c r="D53" s="63" t="str">
        <f t="array" ref="D53:D54">IFERROR(INDEX('Daily Ledger'!$F$5:$F$304,IFERROR(SMALL(IF(('Daily Ledger'!$B$5:$B$304="INCOME")*('Daily Ledger'!$G$5:$G$304&gt;0),ROW('Daily Ledger'!$B$5:$B$304)-4),48),"")),"")</f>
        <v>#REF!</v>
      </c>
      <c r="E53" s="60" t="str">
        <f t="array" ref="E53:E54">IFERROR(INDEX('Daily Ledger'!$G$5:$G$304,IFERROR(SMALL(IF(('Daily Ledger'!$B$5:$B$304="INCOME")*('Daily Ledger'!$G$5:$G$304&gt;0),ROW('Daily Ledger'!$B$5:$B$304)-4),48),"")),"")</f>
        <v>#REF!</v>
      </c>
      <c r="F53" s="64" t="str">
        <f t="array" ref="F53:F54">IFERROR(INDEX('Daily Ledger'!$H$5:$H$304,IFERROR(SMALL(IF(('Daily Ledger'!$B$5:$B$304="INCOME")*('Daily Ledger'!$G$5:$G$304&gt;0),ROW('Daily Ledger'!$B$5:$B$304)-4),48),"")),"")</f>
        <v>#REF!</v>
      </c>
    </row>
    <row r="54" ht="19.5" customHeight="1">
      <c r="A54" s="32" t="str">
        <f t="array" ref="A54:A55">IFERROR(INDEX('Daily Ledger'!$A$5:$A$304,IFERROR(SMALL(IF(('Daily Ledger'!$B$5:$B$304="INCOME")*('Daily Ledger'!$G$5:$G$304&gt;0),ROW('Daily Ledger'!$B$5:$B$304)-4),49),"")),"")</f>
        <v>#REF!</v>
      </c>
      <c r="B54" s="58" t="str">
        <f t="array" ref="B54:B55">IFERROR(INDEX('Daily Ledger'!$D$5:$D$304,IFERROR(SMALL(IF(('Daily Ledger'!$B$5:$B$304="INCOME")*('Daily Ledger'!$G$5:$G$304&gt;0),ROW('Daily Ledger'!$B$5:$B$304)-4),49),"")),"")</f>
        <v>#REF!</v>
      </c>
      <c r="C54" s="59" t="str">
        <f t="array" ref="C54:C55">IFERROR(INDEX('Daily Ledger'!$E$5:$E$304,IFERROR(SMALL(IF(('Daily Ledger'!$B$5:$B$304="INCOME")*('Daily Ledger'!$G$5:$G$304&gt;0),ROW('Daily Ledger'!$B$5:$B$304)-4),49),"")),"")</f>
        <v>#REF!</v>
      </c>
      <c r="D54" s="59" t="str">
        <f t="array" ref="D54:D55">IFERROR(INDEX('Daily Ledger'!$F$5:$F$304,IFERROR(SMALL(IF(('Daily Ledger'!$B$5:$B$304="INCOME")*('Daily Ledger'!$G$5:$G$304&gt;0),ROW('Daily Ledger'!$B$5:$B$304)-4),49),"")),"")</f>
        <v>#REF!</v>
      </c>
      <c r="E54" s="60" t="str">
        <f t="array" ref="E54:E55">IFERROR(INDEX('Daily Ledger'!$G$5:$G$304,IFERROR(SMALL(IF(('Daily Ledger'!$B$5:$B$304="INCOME")*('Daily Ledger'!$G$5:$G$304&gt;0),ROW('Daily Ledger'!$B$5:$B$304)-4),49),"")),"")</f>
        <v>#REF!</v>
      </c>
      <c r="F54" s="61" t="str">
        <f t="array" ref="F54:F55">IFERROR(INDEX('Daily Ledger'!$H$5:$H$304,IFERROR(SMALL(IF(('Daily Ledger'!$B$5:$B$304="INCOME")*('Daily Ledger'!$G$5:$G$304&gt;0),ROW('Daily Ledger'!$B$5:$B$304)-4),49),"")),"")</f>
        <v>#REF!</v>
      </c>
    </row>
    <row r="55" ht="19.5" customHeight="1">
      <c r="A55" s="38" t="str">
        <f t="array" ref="A55:A57">IFERROR(INDEX('Daily Ledger'!$A$5:$A$304,IFERROR(SMALL(IF(('Daily Ledger'!$B$5:$B$304="INCOME")*('Daily Ledger'!$G$5:$G$304&gt;0),ROW('Daily Ledger'!$B$5:$B$304)-4),50),"")),"")</f>
        <v>#REF!</v>
      </c>
      <c r="B55" s="62" t="str">
        <f t="array" ref="B55:B354">IFERROR(INDEX('Daily Ledger'!$D$5:$D$304,IFERROR(SMALL(IF(('Daily Ledger'!$B$5:$B$304="INCOME")*('Daily Ledger'!$G$5:$G$304&gt;0),ROW('Daily Ledger'!$B$5:$B$304)-4),50),"")),"")</f>
        <v>Lodge - Customer 1 (Room 1) Night</v>
      </c>
      <c r="C55" s="63">
        <f t="array" ref="C55:C354">IFERROR(INDEX('Daily Ledger'!$E$5:$E$304,IFERROR(SMALL(IF(('Daily Ledger'!$B$5:$B$304="INCOME")*('Daily Ledger'!$G$5:$G$304&gt;0),ROW('Daily Ledger'!$B$5:$B$304)-4),50),"")),"")</f>
        <v>15000</v>
      </c>
      <c r="D55" s="63">
        <f t="array" ref="D55:D354">IFERROR(INDEX('Daily Ledger'!$F$5:$F$304,IFERROR(SMALL(IF(('Daily Ledger'!$B$5:$B$304="INCOME")*('Daily Ledger'!$G$5:$G$304&gt;0),ROW('Daily Ledger'!$B$5:$B$304)-4),50),"")),"")</f>
        <v>15000</v>
      </c>
      <c r="E55" s="60" t="str">
        <f t="array" ref="E55:E57">IFERROR(INDEX('Daily Ledger'!$G$5:$G$304,IFERROR(SMALL(IF(('Daily Ledger'!$B$5:$B$304="INCOME")*('Daily Ledger'!$G$5:$G$304&gt;0),ROW('Daily Ledger'!$B$5:$B$304)-4),50),"")),"")</f>
        <v>#REF!</v>
      </c>
      <c r="F55" s="64" t="str">
        <f t="array" ref="F55:F354">IFERROR(INDEX('Daily Ledger'!$H$5:$H$304,IFERROR(SMALL(IF(('Daily Ledger'!$B$5:$B$304="INCOME")*('Daily Ledger'!$G$5:$G$304&gt;0),ROW('Daily Ledger'!$B$5:$B$304)-4),50),"")),"")</f>
        <v>Paid</v>
      </c>
    </row>
    <row r="56" ht="15.75" customHeight="1">
      <c r="A56" s="65"/>
      <c r="B56" s="65" t="s">
        <v>14</v>
      </c>
      <c r="C56" s="65">
        <v>5000.0</v>
      </c>
      <c r="D56" s="65">
        <v>5000.0</v>
      </c>
      <c r="E56" s="65"/>
      <c r="F56" s="65" t="s">
        <v>53</v>
      </c>
    </row>
    <row r="57" ht="27.75" customHeight="1">
      <c r="A57" s="66" t="s">
        <v>54</v>
      </c>
      <c r="B57" s="43"/>
      <c r="C57" s="43"/>
      <c r="D57" s="44"/>
      <c r="E57" s="67">
        <f>SUMIF('Daily Ledger'!B5:B304,"INCOME",'Daily Ledger'!G5:G304)</f>
        <v>42500</v>
      </c>
      <c r="F57" s="44"/>
    </row>
    <row r="58" ht="15.75" customHeight="1">
      <c r="B58" s="65" t="s">
        <v>18</v>
      </c>
      <c r="C58" s="65">
        <v>5000.0</v>
      </c>
      <c r="D58" s="65">
        <v>5000.0</v>
      </c>
      <c r="F58" s="65" t="s">
        <v>53</v>
      </c>
    </row>
    <row r="59" ht="15.75" customHeight="1">
      <c r="B59" s="65" t="s">
        <v>20</v>
      </c>
      <c r="C59" s="65">
        <v>500.0</v>
      </c>
      <c r="D59" s="65">
        <v>500.0</v>
      </c>
      <c r="F59" s="65" t="s">
        <v>53</v>
      </c>
    </row>
    <row r="60" ht="15.75" customHeight="1">
      <c r="B60" s="65" t="s">
        <v>21</v>
      </c>
      <c r="C60" s="65">
        <v>16000.0</v>
      </c>
      <c r="D60" s="65">
        <v>16000.0</v>
      </c>
      <c r="F60" s="65" t="s">
        <v>53</v>
      </c>
    </row>
    <row r="61" ht="15.75" customHeight="1">
      <c r="B61" s="65" t="s">
        <v>23</v>
      </c>
      <c r="C61" s="65">
        <v>2900.0</v>
      </c>
      <c r="D61" s="65">
        <v>2900.0</v>
      </c>
      <c r="F61" s="65" t="s">
        <v>53</v>
      </c>
    </row>
    <row r="62" ht="15.75" customHeight="1">
      <c r="B62" s="65" t="s">
        <v>24</v>
      </c>
      <c r="C62" s="65">
        <v>500.0</v>
      </c>
      <c r="D62" s="65">
        <v>500.0</v>
      </c>
      <c r="F62" s="65" t="s">
        <v>53</v>
      </c>
    </row>
    <row r="63" ht="15.75" customHeight="1">
      <c r="B63" s="65" t="s">
        <v>25</v>
      </c>
      <c r="C63" s="65">
        <v>15000.0</v>
      </c>
      <c r="D63" s="65">
        <v>15000.0</v>
      </c>
      <c r="F63" s="65" t="s">
        <v>53</v>
      </c>
    </row>
    <row r="64" ht="15.75" customHeight="1">
      <c r="B64" s="65" t="s">
        <v>20</v>
      </c>
      <c r="C64" s="65">
        <v>750.0</v>
      </c>
      <c r="D64" s="65">
        <v>750.0</v>
      </c>
      <c r="F64" s="65" t="s">
        <v>53</v>
      </c>
    </row>
    <row r="65" ht="15.75" customHeight="1">
      <c r="B65" s="65" t="s">
        <v>26</v>
      </c>
      <c r="C65" s="65">
        <v>400.0</v>
      </c>
      <c r="D65" s="65">
        <v>400.0</v>
      </c>
      <c r="F65" s="65" t="s">
        <v>53</v>
      </c>
    </row>
    <row r="66" ht="15.75" customHeight="1">
      <c r="B66" s="65" t="s">
        <v>27</v>
      </c>
      <c r="C66" s="65">
        <v>6800.0</v>
      </c>
      <c r="D66" s="65">
        <v>6800.0</v>
      </c>
      <c r="F66" s="65" t="s">
        <v>53</v>
      </c>
    </row>
    <row r="67" ht="15.75" customHeight="1">
      <c r="B67" s="65" t="s">
        <v>28</v>
      </c>
      <c r="C67" s="65">
        <v>15000.0</v>
      </c>
      <c r="D67" s="65">
        <v>15000.0</v>
      </c>
      <c r="F67" s="65" t="s">
        <v>53</v>
      </c>
    </row>
    <row r="68" ht="15.75" customHeight="1">
      <c r="B68" s="65" t="s">
        <v>30</v>
      </c>
      <c r="C68" s="65">
        <v>3500.0</v>
      </c>
      <c r="D68" s="65">
        <v>3500.0</v>
      </c>
      <c r="F68" s="65" t="s">
        <v>53</v>
      </c>
    </row>
    <row r="69" ht="15.75" customHeight="1">
      <c r="B69" s="65" t="s">
        <v>31</v>
      </c>
      <c r="C69" s="65">
        <v>5000.0</v>
      </c>
      <c r="D69" s="65">
        <v>5000.0</v>
      </c>
      <c r="F69" s="65" t="s">
        <v>53</v>
      </c>
    </row>
    <row r="70" ht="15.75" customHeight="1">
      <c r="B70" s="65" t="s">
        <v>32</v>
      </c>
      <c r="C70" s="65">
        <v>1500.0</v>
      </c>
      <c r="D70" s="65">
        <v>1500.0</v>
      </c>
      <c r="F70" s="65" t="s">
        <v>53</v>
      </c>
    </row>
    <row r="71" ht="15.75" customHeight="1">
      <c r="B71" s="65" t="s">
        <v>33</v>
      </c>
      <c r="C71" s="65">
        <v>6800.0</v>
      </c>
      <c r="D71" s="65">
        <v>6800.0</v>
      </c>
      <c r="F71" s="65" t="s">
        <v>53</v>
      </c>
    </row>
    <row r="72" ht="15.75" customHeight="1">
      <c r="B72" s="65" t="s">
        <v>34</v>
      </c>
      <c r="C72" s="65">
        <v>10000.0</v>
      </c>
      <c r="D72" s="65">
        <v>10000.0</v>
      </c>
      <c r="F72" s="65" t="s">
        <v>53</v>
      </c>
    </row>
    <row r="73" ht="15.75" customHeight="1">
      <c r="B73" s="65" t="s">
        <v>35</v>
      </c>
      <c r="C73" s="65">
        <v>4500.0</v>
      </c>
      <c r="D73" s="65">
        <v>0.0</v>
      </c>
      <c r="F73" s="65" t="s">
        <v>55</v>
      </c>
    </row>
    <row r="74" ht="15.75" customHeight="1">
      <c r="B74" s="65" t="s">
        <v>36</v>
      </c>
      <c r="C74" s="65">
        <v>15000.0</v>
      </c>
      <c r="D74" s="65">
        <v>15000.0</v>
      </c>
      <c r="F74" s="65" t="s">
        <v>53</v>
      </c>
    </row>
    <row r="75" ht="15.75" customHeight="1">
      <c r="B75" s="65" t="s">
        <v>36</v>
      </c>
      <c r="C75" s="65">
        <v>15000.0</v>
      </c>
      <c r="D75" s="65">
        <v>5000.0</v>
      </c>
      <c r="F75" s="65" t="s">
        <v>56</v>
      </c>
    </row>
    <row r="76" ht="15.75" customHeight="1">
      <c r="B76" s="65" t="s">
        <v>37</v>
      </c>
      <c r="C76" s="65">
        <v>15000.0</v>
      </c>
      <c r="D76" s="65">
        <v>0.0</v>
      </c>
      <c r="F76" s="65" t="s">
        <v>55</v>
      </c>
    </row>
    <row r="77" ht="15.75" customHeight="1">
      <c r="B77" s="65" t="s">
        <v>38</v>
      </c>
      <c r="C77" s="65">
        <v>5000.0</v>
      </c>
      <c r="D77" s="65">
        <v>5000.0</v>
      </c>
      <c r="F77" s="65" t="s">
        <v>53</v>
      </c>
    </row>
    <row r="78" ht="15.75" customHeight="1">
      <c r="B78" s="65" t="s">
        <v>39</v>
      </c>
      <c r="C78" s="65">
        <v>8000.0</v>
      </c>
      <c r="D78" s="65">
        <v>0.0</v>
      </c>
      <c r="F78" s="65" t="s">
        <v>55</v>
      </c>
    </row>
    <row r="79" ht="15.75" customHeight="1">
      <c r="B79" s="65" t="s">
        <v>40</v>
      </c>
      <c r="C79" s="65">
        <v>5000.0</v>
      </c>
      <c r="D79" s="65">
        <v>0.0</v>
      </c>
      <c r="F79" s="65" t="s">
        <v>55</v>
      </c>
    </row>
    <row r="80" ht="15.75" customHeight="1">
      <c r="B80" s="65" t="s">
        <v>41</v>
      </c>
      <c r="C80" s="65">
        <v>10000.0</v>
      </c>
      <c r="D80" s="65">
        <v>10000.0</v>
      </c>
      <c r="F80" s="65" t="s">
        <v>53</v>
      </c>
    </row>
    <row r="81" ht="15.75" customHeight="1">
      <c r="B81" s="65" t="s">
        <v>21</v>
      </c>
      <c r="C81" s="65">
        <v>15500.0</v>
      </c>
      <c r="D81" s="65">
        <v>15500.0</v>
      </c>
      <c r="F81" s="65" t="s">
        <v>53</v>
      </c>
    </row>
    <row r="82" ht="15.75" customHeight="1">
      <c r="B82" s="65" t="s">
        <v>42</v>
      </c>
      <c r="C82" s="65">
        <v>5000.0</v>
      </c>
      <c r="D82" s="65">
        <v>5000.0</v>
      </c>
      <c r="F82" s="65" t="s">
        <v>53</v>
      </c>
    </row>
    <row r="83" ht="15.75" customHeight="1">
      <c r="B83" s="65"/>
      <c r="C83" s="65"/>
      <c r="D83" s="65"/>
      <c r="F83" s="65" t="s">
        <v>57</v>
      </c>
    </row>
    <row r="84" ht="15.75" customHeight="1">
      <c r="B84" s="65"/>
      <c r="C84" s="65"/>
      <c r="D84" s="65"/>
      <c r="F84" s="65" t="s">
        <v>57</v>
      </c>
    </row>
    <row r="85" ht="15.75" customHeight="1">
      <c r="B85" s="65"/>
      <c r="C85" s="65"/>
      <c r="D85" s="65"/>
      <c r="F85" s="65" t="s">
        <v>57</v>
      </c>
    </row>
    <row r="86" ht="15.75" customHeight="1">
      <c r="B86" s="65"/>
      <c r="C86" s="65"/>
      <c r="D86" s="65"/>
      <c r="F86" s="65" t="s">
        <v>57</v>
      </c>
    </row>
    <row r="87" ht="15.75" customHeight="1">
      <c r="B87" s="65"/>
      <c r="C87" s="65"/>
      <c r="D87" s="65"/>
      <c r="F87" s="65" t="s">
        <v>57</v>
      </c>
    </row>
    <row r="88" ht="15.75" customHeight="1">
      <c r="B88" s="65"/>
      <c r="C88" s="65"/>
      <c r="D88" s="65"/>
      <c r="F88" s="65" t="s">
        <v>57</v>
      </c>
    </row>
    <row r="89" ht="15.75" customHeight="1">
      <c r="B89" s="65"/>
      <c r="C89" s="65"/>
      <c r="D89" s="65"/>
      <c r="F89" s="65" t="s">
        <v>57</v>
      </c>
    </row>
    <row r="90" ht="15.75" customHeight="1">
      <c r="B90" s="65"/>
      <c r="C90" s="65"/>
      <c r="D90" s="65"/>
      <c r="F90" s="65" t="s">
        <v>57</v>
      </c>
    </row>
    <row r="91" ht="15.75" customHeight="1">
      <c r="B91" s="65"/>
      <c r="C91" s="65"/>
      <c r="D91" s="65"/>
      <c r="F91" s="65" t="s">
        <v>57</v>
      </c>
    </row>
    <row r="92" ht="15.75" customHeight="1">
      <c r="B92" s="65"/>
      <c r="C92" s="65"/>
      <c r="D92" s="65"/>
      <c r="F92" s="65" t="s">
        <v>57</v>
      </c>
    </row>
    <row r="93" ht="15.75" customHeight="1">
      <c r="B93" s="65"/>
      <c r="C93" s="65"/>
      <c r="D93" s="65"/>
      <c r="F93" s="65" t="s">
        <v>57</v>
      </c>
    </row>
    <row r="94" ht="15.75" customHeight="1">
      <c r="B94" s="65"/>
      <c r="C94" s="65"/>
      <c r="D94" s="65"/>
      <c r="F94" s="65" t="s">
        <v>57</v>
      </c>
    </row>
    <row r="95" ht="15.75" customHeight="1">
      <c r="B95" s="65"/>
      <c r="C95" s="65"/>
      <c r="D95" s="65"/>
      <c r="F95" s="65" t="s">
        <v>57</v>
      </c>
    </row>
    <row r="96" ht="15.75" customHeight="1">
      <c r="B96" s="65"/>
      <c r="C96" s="65"/>
      <c r="D96" s="65"/>
      <c r="F96" s="65" t="s">
        <v>57</v>
      </c>
    </row>
    <row r="97" ht="15.75" customHeight="1">
      <c r="B97" s="65"/>
      <c r="C97" s="65"/>
      <c r="D97" s="65"/>
      <c r="F97" s="65" t="s">
        <v>57</v>
      </c>
    </row>
    <row r="98" ht="15.75" customHeight="1">
      <c r="B98" s="65"/>
      <c r="C98" s="65"/>
      <c r="D98" s="65"/>
      <c r="F98" s="65" t="s">
        <v>57</v>
      </c>
    </row>
    <row r="99" ht="15.75" customHeight="1">
      <c r="B99" s="65"/>
      <c r="C99" s="65"/>
      <c r="D99" s="65"/>
      <c r="F99" s="65" t="s">
        <v>57</v>
      </c>
    </row>
    <row r="100" ht="15.75" customHeight="1">
      <c r="B100" s="65"/>
      <c r="C100" s="65"/>
      <c r="D100" s="65"/>
      <c r="F100" s="65" t="s">
        <v>57</v>
      </c>
    </row>
    <row r="101" ht="15.75" customHeight="1">
      <c r="B101" s="65"/>
      <c r="C101" s="65"/>
      <c r="D101" s="65"/>
      <c r="F101" s="65" t="s">
        <v>57</v>
      </c>
    </row>
    <row r="102" ht="15.75" customHeight="1">
      <c r="B102" s="65"/>
      <c r="C102" s="65"/>
      <c r="D102" s="65"/>
      <c r="F102" s="65" t="s">
        <v>57</v>
      </c>
    </row>
    <row r="103" ht="15.75" customHeight="1">
      <c r="B103" s="65"/>
      <c r="C103" s="65"/>
      <c r="D103" s="65"/>
      <c r="F103" s="65" t="s">
        <v>57</v>
      </c>
    </row>
    <row r="104" ht="15.75" customHeight="1">
      <c r="B104" s="65"/>
      <c r="C104" s="65"/>
      <c r="D104" s="65"/>
      <c r="F104" s="65" t="s">
        <v>57</v>
      </c>
    </row>
    <row r="105" ht="15.75" customHeight="1">
      <c r="B105" s="65"/>
      <c r="C105" s="65"/>
      <c r="D105" s="65"/>
      <c r="F105" s="65" t="s">
        <v>57</v>
      </c>
    </row>
    <row r="106" ht="15.75" customHeight="1">
      <c r="B106" s="65"/>
      <c r="C106" s="65"/>
      <c r="D106" s="65"/>
      <c r="F106" s="65" t="s">
        <v>57</v>
      </c>
    </row>
    <row r="107" ht="15.75" customHeight="1">
      <c r="B107" s="65"/>
      <c r="C107" s="65"/>
      <c r="D107" s="65"/>
      <c r="F107" s="65" t="s">
        <v>57</v>
      </c>
    </row>
    <row r="108" ht="15.75" customHeight="1">
      <c r="B108" s="65"/>
      <c r="C108" s="65"/>
      <c r="D108" s="65"/>
      <c r="F108" s="65" t="s">
        <v>57</v>
      </c>
    </row>
    <row r="109" ht="15.75" customHeight="1">
      <c r="B109" s="65"/>
      <c r="C109" s="65"/>
      <c r="D109" s="65"/>
      <c r="F109" s="65" t="s">
        <v>57</v>
      </c>
    </row>
    <row r="110" ht="15.75" customHeight="1">
      <c r="B110" s="65"/>
      <c r="C110" s="65"/>
      <c r="D110" s="65"/>
      <c r="F110" s="65" t="s">
        <v>57</v>
      </c>
    </row>
    <row r="111" ht="15.75" customHeight="1">
      <c r="B111" s="65"/>
      <c r="C111" s="65"/>
      <c r="D111" s="65"/>
      <c r="F111" s="65" t="s">
        <v>57</v>
      </c>
    </row>
    <row r="112" ht="15.75" customHeight="1">
      <c r="B112" s="65"/>
      <c r="C112" s="65"/>
      <c r="D112" s="65"/>
      <c r="F112" s="65" t="s">
        <v>57</v>
      </c>
    </row>
    <row r="113" ht="15.75" customHeight="1">
      <c r="B113" s="65"/>
      <c r="C113" s="65"/>
      <c r="D113" s="65"/>
      <c r="F113" s="65" t="s">
        <v>57</v>
      </c>
    </row>
    <row r="114" ht="15.75" customHeight="1">
      <c r="B114" s="65"/>
      <c r="C114" s="65"/>
      <c r="D114" s="65"/>
      <c r="F114" s="65" t="s">
        <v>57</v>
      </c>
    </row>
    <row r="115" ht="15.75" customHeight="1">
      <c r="B115" s="65"/>
      <c r="C115" s="65"/>
      <c r="D115" s="65"/>
      <c r="F115" s="65" t="s">
        <v>57</v>
      </c>
    </row>
    <row r="116" ht="15.75" customHeight="1">
      <c r="B116" s="65"/>
      <c r="C116" s="65"/>
      <c r="D116" s="65"/>
      <c r="F116" s="65" t="s">
        <v>57</v>
      </c>
    </row>
    <row r="117" ht="15.75" customHeight="1">
      <c r="B117" s="65"/>
      <c r="C117" s="65"/>
      <c r="D117" s="65"/>
      <c r="F117" s="65" t="s">
        <v>57</v>
      </c>
    </row>
    <row r="118" ht="15.75" customHeight="1">
      <c r="B118" s="65"/>
      <c r="C118" s="65"/>
      <c r="D118" s="65"/>
      <c r="F118" s="65" t="s">
        <v>57</v>
      </c>
    </row>
    <row r="119" ht="15.75" customHeight="1">
      <c r="B119" s="65"/>
      <c r="C119" s="65"/>
      <c r="D119" s="65"/>
      <c r="F119" s="65" t="s">
        <v>57</v>
      </c>
    </row>
    <row r="120" ht="15.75" customHeight="1">
      <c r="B120" s="65"/>
      <c r="C120" s="65"/>
      <c r="D120" s="65"/>
      <c r="F120" s="65" t="s">
        <v>57</v>
      </c>
    </row>
    <row r="121" ht="15.75" customHeight="1">
      <c r="B121" s="65"/>
      <c r="C121" s="65"/>
      <c r="D121" s="65"/>
      <c r="F121" s="65" t="s">
        <v>57</v>
      </c>
    </row>
    <row r="122" ht="15.75" customHeight="1">
      <c r="B122" s="65"/>
      <c r="C122" s="65"/>
      <c r="D122" s="65"/>
      <c r="F122" s="65" t="s">
        <v>57</v>
      </c>
    </row>
    <row r="123" ht="15.75" customHeight="1">
      <c r="B123" s="65"/>
      <c r="C123" s="65"/>
      <c r="D123" s="65"/>
      <c r="F123" s="65" t="s">
        <v>57</v>
      </c>
    </row>
    <row r="124" ht="15.75" customHeight="1">
      <c r="B124" s="65"/>
      <c r="C124" s="65"/>
      <c r="D124" s="65"/>
      <c r="F124" s="65" t="s">
        <v>57</v>
      </c>
    </row>
    <row r="125" ht="15.75" customHeight="1">
      <c r="B125" s="65"/>
      <c r="C125" s="65"/>
      <c r="D125" s="65"/>
      <c r="F125" s="65" t="s">
        <v>57</v>
      </c>
    </row>
    <row r="126" ht="15.75" customHeight="1">
      <c r="B126" s="65"/>
      <c r="C126" s="65"/>
      <c r="D126" s="65"/>
      <c r="F126" s="65" t="s">
        <v>57</v>
      </c>
    </row>
    <row r="127" ht="15.75" customHeight="1">
      <c r="B127" s="65"/>
      <c r="C127" s="65"/>
      <c r="D127" s="65"/>
      <c r="F127" s="65" t="s">
        <v>57</v>
      </c>
    </row>
    <row r="128" ht="15.75" customHeight="1">
      <c r="B128" s="65"/>
      <c r="C128" s="65"/>
      <c r="D128" s="65"/>
      <c r="F128" s="65" t="s">
        <v>57</v>
      </c>
    </row>
    <row r="129" ht="15.75" customHeight="1">
      <c r="B129" s="65"/>
      <c r="C129" s="65"/>
      <c r="D129" s="65"/>
      <c r="F129" s="65" t="s">
        <v>57</v>
      </c>
    </row>
    <row r="130" ht="15.75" customHeight="1">
      <c r="B130" s="65"/>
      <c r="C130" s="65"/>
      <c r="D130" s="65"/>
      <c r="F130" s="65" t="s">
        <v>57</v>
      </c>
    </row>
    <row r="131" ht="15.75" customHeight="1">
      <c r="B131" s="65"/>
      <c r="C131" s="65"/>
      <c r="D131" s="65"/>
      <c r="F131" s="65" t="s">
        <v>57</v>
      </c>
    </row>
    <row r="132" ht="15.75" customHeight="1">
      <c r="B132" s="65"/>
      <c r="C132" s="65"/>
      <c r="D132" s="65"/>
      <c r="F132" s="65" t="s">
        <v>57</v>
      </c>
    </row>
    <row r="133" ht="15.75" customHeight="1">
      <c r="B133" s="65"/>
      <c r="C133" s="65"/>
      <c r="D133" s="65"/>
      <c r="F133" s="65" t="s">
        <v>57</v>
      </c>
    </row>
    <row r="134" ht="15.75" customHeight="1">
      <c r="B134" s="65"/>
      <c r="C134" s="65"/>
      <c r="D134" s="65"/>
      <c r="F134" s="65" t="s">
        <v>57</v>
      </c>
    </row>
    <row r="135" ht="15.75" customHeight="1">
      <c r="B135" s="65"/>
      <c r="C135" s="65"/>
      <c r="D135" s="65"/>
      <c r="F135" s="65" t="s">
        <v>57</v>
      </c>
    </row>
    <row r="136" ht="15.75" customHeight="1">
      <c r="B136" s="65"/>
      <c r="C136" s="65"/>
      <c r="D136" s="65"/>
      <c r="F136" s="65" t="s">
        <v>57</v>
      </c>
    </row>
    <row r="137" ht="15.75" customHeight="1">
      <c r="B137" s="65"/>
      <c r="C137" s="65"/>
      <c r="D137" s="65"/>
      <c r="F137" s="65" t="s">
        <v>57</v>
      </c>
    </row>
    <row r="138" ht="15.75" customHeight="1">
      <c r="B138" s="65"/>
      <c r="C138" s="65"/>
      <c r="D138" s="65"/>
      <c r="F138" s="65" t="s">
        <v>57</v>
      </c>
    </row>
    <row r="139" ht="15.75" customHeight="1">
      <c r="B139" s="65"/>
      <c r="C139" s="65"/>
      <c r="D139" s="65"/>
      <c r="F139" s="65" t="s">
        <v>57</v>
      </c>
    </row>
    <row r="140" ht="15.75" customHeight="1">
      <c r="B140" s="65"/>
      <c r="C140" s="65"/>
      <c r="D140" s="65"/>
      <c r="F140" s="65" t="s">
        <v>57</v>
      </c>
    </row>
    <row r="141" ht="15.75" customHeight="1">
      <c r="B141" s="65"/>
      <c r="C141" s="65"/>
      <c r="D141" s="65"/>
      <c r="F141" s="65" t="s">
        <v>57</v>
      </c>
    </row>
    <row r="142" ht="15.75" customHeight="1">
      <c r="B142" s="65"/>
      <c r="C142" s="65"/>
      <c r="D142" s="65"/>
      <c r="F142" s="65" t="s">
        <v>57</v>
      </c>
    </row>
    <row r="143" ht="15.75" customHeight="1">
      <c r="B143" s="65"/>
      <c r="C143" s="65"/>
      <c r="D143" s="65"/>
      <c r="F143" s="65" t="s">
        <v>57</v>
      </c>
    </row>
    <row r="144" ht="15.75" customHeight="1">
      <c r="B144" s="65"/>
      <c r="C144" s="65"/>
      <c r="D144" s="65"/>
      <c r="F144" s="65" t="s">
        <v>57</v>
      </c>
    </row>
    <row r="145" ht="15.75" customHeight="1">
      <c r="B145" s="65"/>
      <c r="C145" s="65"/>
      <c r="D145" s="65"/>
      <c r="F145" s="65" t="s">
        <v>57</v>
      </c>
    </row>
    <row r="146" ht="15.75" customHeight="1">
      <c r="B146" s="65"/>
      <c r="C146" s="65"/>
      <c r="D146" s="65"/>
      <c r="F146" s="65" t="s">
        <v>57</v>
      </c>
    </row>
    <row r="147" ht="15.75" customHeight="1">
      <c r="B147" s="65"/>
      <c r="C147" s="65"/>
      <c r="D147" s="65"/>
      <c r="F147" s="65" t="s">
        <v>57</v>
      </c>
    </row>
    <row r="148" ht="15.75" customHeight="1">
      <c r="B148" s="65"/>
      <c r="C148" s="65"/>
      <c r="D148" s="65"/>
      <c r="F148" s="65" t="s">
        <v>57</v>
      </c>
    </row>
    <row r="149" ht="15.75" customHeight="1">
      <c r="B149" s="65"/>
      <c r="C149" s="65"/>
      <c r="D149" s="65"/>
      <c r="F149" s="65" t="s">
        <v>57</v>
      </c>
    </row>
    <row r="150" ht="15.75" customHeight="1">
      <c r="B150" s="65"/>
      <c r="C150" s="65"/>
      <c r="D150" s="65"/>
      <c r="F150" s="65" t="s">
        <v>57</v>
      </c>
    </row>
    <row r="151" ht="15.75" customHeight="1">
      <c r="B151" s="65"/>
      <c r="C151" s="65"/>
      <c r="D151" s="65"/>
      <c r="F151" s="65" t="s">
        <v>57</v>
      </c>
    </row>
    <row r="152" ht="15.75" customHeight="1">
      <c r="B152" s="65"/>
      <c r="C152" s="65"/>
      <c r="D152" s="65"/>
      <c r="F152" s="65" t="s">
        <v>57</v>
      </c>
    </row>
    <row r="153" ht="15.75" customHeight="1">
      <c r="B153" s="65"/>
      <c r="C153" s="65"/>
      <c r="D153" s="65"/>
      <c r="F153" s="65" t="s">
        <v>57</v>
      </c>
    </row>
    <row r="154" ht="15.75" customHeight="1">
      <c r="B154" s="65"/>
      <c r="C154" s="65"/>
      <c r="D154" s="65"/>
      <c r="F154" s="65" t="s">
        <v>57</v>
      </c>
    </row>
    <row r="155" ht="15.75" customHeight="1">
      <c r="B155" s="65"/>
      <c r="C155" s="65"/>
      <c r="D155" s="65"/>
      <c r="F155" s="65" t="s">
        <v>57</v>
      </c>
    </row>
    <row r="156" ht="15.75" customHeight="1">
      <c r="B156" s="65"/>
      <c r="C156" s="65"/>
      <c r="D156" s="65"/>
      <c r="F156" s="65" t="s">
        <v>57</v>
      </c>
    </row>
    <row r="157" ht="15.75" customHeight="1">
      <c r="B157" s="65"/>
      <c r="C157" s="65"/>
      <c r="D157" s="65"/>
      <c r="F157" s="65" t="s">
        <v>57</v>
      </c>
    </row>
    <row r="158" ht="15.75" customHeight="1">
      <c r="B158" s="65"/>
      <c r="C158" s="65"/>
      <c r="D158" s="65"/>
      <c r="F158" s="65" t="s">
        <v>57</v>
      </c>
    </row>
    <row r="159" ht="15.75" customHeight="1">
      <c r="B159" s="65"/>
      <c r="C159" s="65"/>
      <c r="D159" s="65"/>
      <c r="F159" s="65" t="s">
        <v>57</v>
      </c>
    </row>
    <row r="160" ht="15.75" customHeight="1">
      <c r="B160" s="65"/>
      <c r="C160" s="65"/>
      <c r="D160" s="65"/>
      <c r="F160" s="65" t="s">
        <v>57</v>
      </c>
    </row>
    <row r="161" ht="15.75" customHeight="1">
      <c r="B161" s="65"/>
      <c r="C161" s="65"/>
      <c r="D161" s="65"/>
      <c r="F161" s="65" t="s">
        <v>57</v>
      </c>
    </row>
    <row r="162" ht="15.75" customHeight="1">
      <c r="B162" s="65"/>
      <c r="C162" s="65"/>
      <c r="D162" s="65"/>
      <c r="F162" s="65" t="s">
        <v>57</v>
      </c>
    </row>
    <row r="163" ht="15.75" customHeight="1">
      <c r="B163" s="65"/>
      <c r="C163" s="65"/>
      <c r="D163" s="65"/>
      <c r="F163" s="65" t="s">
        <v>57</v>
      </c>
    </row>
    <row r="164" ht="15.75" customHeight="1">
      <c r="B164" s="65"/>
      <c r="C164" s="65"/>
      <c r="D164" s="65"/>
      <c r="F164" s="65" t="s">
        <v>57</v>
      </c>
    </row>
    <row r="165" ht="15.75" customHeight="1">
      <c r="B165" s="65"/>
      <c r="C165" s="65"/>
      <c r="D165" s="65"/>
      <c r="F165" s="65" t="s">
        <v>57</v>
      </c>
    </row>
    <row r="166" ht="15.75" customHeight="1">
      <c r="B166" s="65"/>
      <c r="C166" s="65"/>
      <c r="D166" s="65"/>
      <c r="F166" s="65" t="s">
        <v>57</v>
      </c>
    </row>
    <row r="167" ht="15.75" customHeight="1">
      <c r="B167" s="65"/>
      <c r="C167" s="65"/>
      <c r="D167" s="65"/>
      <c r="F167" s="65" t="s">
        <v>57</v>
      </c>
    </row>
    <row r="168" ht="15.75" customHeight="1">
      <c r="B168" s="65"/>
      <c r="C168" s="65"/>
      <c r="D168" s="65"/>
      <c r="F168" s="65" t="s">
        <v>57</v>
      </c>
    </row>
    <row r="169" ht="15.75" customHeight="1">
      <c r="B169" s="65"/>
      <c r="C169" s="65"/>
      <c r="D169" s="65"/>
      <c r="F169" s="65" t="s">
        <v>57</v>
      </c>
    </row>
    <row r="170" ht="15.75" customHeight="1">
      <c r="B170" s="65"/>
      <c r="C170" s="65"/>
      <c r="D170" s="65"/>
      <c r="F170" s="65" t="s">
        <v>57</v>
      </c>
    </row>
    <row r="171" ht="15.75" customHeight="1">
      <c r="B171" s="65"/>
      <c r="C171" s="65"/>
      <c r="D171" s="65"/>
      <c r="F171" s="65" t="s">
        <v>57</v>
      </c>
    </row>
    <row r="172" ht="15.75" customHeight="1">
      <c r="B172" s="65"/>
      <c r="C172" s="65"/>
      <c r="D172" s="65"/>
      <c r="F172" s="65" t="s">
        <v>57</v>
      </c>
    </row>
    <row r="173" ht="15.75" customHeight="1">
      <c r="B173" s="65"/>
      <c r="C173" s="65"/>
      <c r="D173" s="65"/>
      <c r="F173" s="65" t="s">
        <v>57</v>
      </c>
    </row>
    <row r="174" ht="15.75" customHeight="1">
      <c r="B174" s="65"/>
      <c r="C174" s="65"/>
      <c r="D174" s="65"/>
      <c r="F174" s="65" t="s">
        <v>57</v>
      </c>
    </row>
    <row r="175" ht="15.75" customHeight="1">
      <c r="B175" s="65"/>
      <c r="C175" s="65"/>
      <c r="D175" s="65"/>
      <c r="F175" s="65" t="s">
        <v>57</v>
      </c>
    </row>
    <row r="176" ht="15.75" customHeight="1">
      <c r="B176" s="65"/>
      <c r="C176" s="65"/>
      <c r="D176" s="65"/>
      <c r="F176" s="65" t="s">
        <v>57</v>
      </c>
    </row>
    <row r="177" ht="15.75" customHeight="1">
      <c r="B177" s="65"/>
      <c r="C177" s="65"/>
      <c r="D177" s="65"/>
      <c r="F177" s="65" t="s">
        <v>57</v>
      </c>
    </row>
    <row r="178" ht="15.75" customHeight="1">
      <c r="B178" s="65"/>
      <c r="C178" s="65"/>
      <c r="D178" s="65"/>
      <c r="F178" s="65" t="s">
        <v>57</v>
      </c>
    </row>
    <row r="179" ht="15.75" customHeight="1">
      <c r="B179" s="65"/>
      <c r="C179" s="65"/>
      <c r="D179" s="65"/>
      <c r="F179" s="65" t="s">
        <v>57</v>
      </c>
    </row>
    <row r="180" ht="15.75" customHeight="1">
      <c r="B180" s="65"/>
      <c r="C180" s="65"/>
      <c r="D180" s="65"/>
      <c r="F180" s="65" t="s">
        <v>57</v>
      </c>
    </row>
    <row r="181" ht="15.75" customHeight="1">
      <c r="B181" s="65"/>
      <c r="C181" s="65"/>
      <c r="D181" s="65"/>
      <c r="F181" s="65" t="s">
        <v>57</v>
      </c>
    </row>
    <row r="182" ht="15.75" customHeight="1">
      <c r="B182" s="65"/>
      <c r="C182" s="65"/>
      <c r="D182" s="65"/>
      <c r="F182" s="65" t="s">
        <v>57</v>
      </c>
    </row>
    <row r="183" ht="15.75" customHeight="1">
      <c r="B183" s="65"/>
      <c r="C183" s="65"/>
      <c r="D183" s="65"/>
      <c r="F183" s="65" t="s">
        <v>57</v>
      </c>
    </row>
    <row r="184" ht="15.75" customHeight="1">
      <c r="B184" s="65"/>
      <c r="C184" s="65"/>
      <c r="D184" s="65"/>
      <c r="F184" s="65" t="s">
        <v>57</v>
      </c>
    </row>
    <row r="185" ht="15.75" customHeight="1">
      <c r="B185" s="65"/>
      <c r="C185" s="65"/>
      <c r="D185" s="65"/>
      <c r="F185" s="65" t="s">
        <v>57</v>
      </c>
    </row>
    <row r="186" ht="15.75" customHeight="1">
      <c r="B186" s="65"/>
      <c r="C186" s="65"/>
      <c r="D186" s="65"/>
      <c r="F186" s="65" t="s">
        <v>57</v>
      </c>
    </row>
    <row r="187" ht="15.75" customHeight="1">
      <c r="B187" s="65"/>
      <c r="C187" s="65"/>
      <c r="D187" s="65"/>
      <c r="F187" s="65" t="s">
        <v>57</v>
      </c>
    </row>
    <row r="188" ht="15.75" customHeight="1">
      <c r="B188" s="65"/>
      <c r="C188" s="65"/>
      <c r="D188" s="65"/>
      <c r="F188" s="65" t="s">
        <v>57</v>
      </c>
    </row>
    <row r="189" ht="15.75" customHeight="1">
      <c r="B189" s="65"/>
      <c r="C189" s="65"/>
      <c r="D189" s="65"/>
      <c r="F189" s="65" t="s">
        <v>57</v>
      </c>
    </row>
    <row r="190" ht="15.75" customHeight="1">
      <c r="B190" s="65"/>
      <c r="C190" s="65"/>
      <c r="D190" s="65"/>
      <c r="F190" s="65" t="s">
        <v>57</v>
      </c>
    </row>
    <row r="191" ht="15.75" customHeight="1">
      <c r="B191" s="65"/>
      <c r="C191" s="65"/>
      <c r="D191" s="65"/>
      <c r="F191" s="65" t="s">
        <v>57</v>
      </c>
    </row>
    <row r="192" ht="15.75" customHeight="1">
      <c r="B192" s="65"/>
      <c r="C192" s="65"/>
      <c r="D192" s="65"/>
      <c r="F192" s="65" t="s">
        <v>57</v>
      </c>
    </row>
    <row r="193" ht="15.75" customHeight="1">
      <c r="B193" s="65"/>
      <c r="C193" s="65"/>
      <c r="D193" s="65"/>
      <c r="F193" s="65" t="s">
        <v>57</v>
      </c>
    </row>
    <row r="194" ht="15.75" customHeight="1">
      <c r="B194" s="65"/>
      <c r="C194" s="65"/>
      <c r="D194" s="65"/>
      <c r="F194" s="65" t="s">
        <v>57</v>
      </c>
    </row>
    <row r="195" ht="15.75" customHeight="1">
      <c r="B195" s="65"/>
      <c r="C195" s="65"/>
      <c r="D195" s="65"/>
      <c r="F195" s="65" t="s">
        <v>57</v>
      </c>
    </row>
    <row r="196" ht="15.75" customHeight="1">
      <c r="B196" s="65"/>
      <c r="C196" s="65"/>
      <c r="D196" s="65"/>
      <c r="F196" s="65" t="s">
        <v>57</v>
      </c>
    </row>
    <row r="197" ht="15.75" customHeight="1">
      <c r="B197" s="65"/>
      <c r="C197" s="65"/>
      <c r="D197" s="65"/>
      <c r="F197" s="65" t="s">
        <v>57</v>
      </c>
    </row>
    <row r="198" ht="15.75" customHeight="1">
      <c r="B198" s="65"/>
      <c r="C198" s="65"/>
      <c r="D198" s="65"/>
      <c r="F198" s="65" t="s">
        <v>57</v>
      </c>
    </row>
    <row r="199" ht="15.75" customHeight="1">
      <c r="B199" s="65"/>
      <c r="C199" s="65"/>
      <c r="D199" s="65"/>
      <c r="F199" s="65" t="s">
        <v>57</v>
      </c>
    </row>
    <row r="200" ht="15.75" customHeight="1">
      <c r="B200" s="65"/>
      <c r="C200" s="65"/>
      <c r="D200" s="65"/>
      <c r="F200" s="65" t="s">
        <v>57</v>
      </c>
    </row>
    <row r="201" ht="15.75" customHeight="1">
      <c r="B201" s="65"/>
      <c r="C201" s="65"/>
      <c r="D201" s="65"/>
      <c r="F201" s="65" t="s">
        <v>57</v>
      </c>
    </row>
    <row r="202" ht="15.75" customHeight="1">
      <c r="B202" s="65"/>
      <c r="C202" s="65"/>
      <c r="D202" s="65"/>
      <c r="F202" s="65" t="s">
        <v>57</v>
      </c>
    </row>
    <row r="203" ht="15.75" customHeight="1">
      <c r="B203" s="65"/>
      <c r="C203" s="65"/>
      <c r="D203" s="65"/>
      <c r="F203" s="65" t="s">
        <v>57</v>
      </c>
    </row>
    <row r="204" ht="15.75" customHeight="1">
      <c r="B204" s="65"/>
      <c r="C204" s="65"/>
      <c r="D204" s="65"/>
      <c r="F204" s="65" t="s">
        <v>57</v>
      </c>
    </row>
    <row r="205" ht="15.75" customHeight="1">
      <c r="B205" s="65"/>
      <c r="C205" s="65"/>
      <c r="D205" s="65"/>
      <c r="F205" s="65" t="s">
        <v>57</v>
      </c>
    </row>
    <row r="206" ht="15.75" customHeight="1">
      <c r="B206" s="65"/>
      <c r="C206" s="65"/>
      <c r="D206" s="65"/>
      <c r="F206" s="65" t="s">
        <v>57</v>
      </c>
    </row>
    <row r="207" ht="15.75" customHeight="1">
      <c r="B207" s="65"/>
      <c r="C207" s="65"/>
      <c r="D207" s="65"/>
      <c r="F207" s="65" t="s">
        <v>57</v>
      </c>
    </row>
    <row r="208" ht="15.75" customHeight="1">
      <c r="B208" s="65"/>
      <c r="C208" s="65"/>
      <c r="D208" s="65"/>
      <c r="F208" s="65" t="s">
        <v>57</v>
      </c>
    </row>
    <row r="209" ht="15.75" customHeight="1">
      <c r="B209" s="65"/>
      <c r="C209" s="65"/>
      <c r="D209" s="65"/>
      <c r="F209" s="65" t="s">
        <v>57</v>
      </c>
    </row>
    <row r="210" ht="15.75" customHeight="1">
      <c r="B210" s="65"/>
      <c r="C210" s="65"/>
      <c r="D210" s="65"/>
      <c r="F210" s="65" t="s">
        <v>57</v>
      </c>
    </row>
    <row r="211" ht="15.75" customHeight="1">
      <c r="B211" s="65"/>
      <c r="C211" s="65"/>
      <c r="D211" s="65"/>
      <c r="F211" s="65" t="s">
        <v>57</v>
      </c>
    </row>
    <row r="212" ht="15.75" customHeight="1">
      <c r="B212" s="65"/>
      <c r="C212" s="65"/>
      <c r="D212" s="65"/>
      <c r="F212" s="65" t="s">
        <v>57</v>
      </c>
    </row>
    <row r="213" ht="15.75" customHeight="1">
      <c r="B213" s="65"/>
      <c r="C213" s="65"/>
      <c r="D213" s="65"/>
      <c r="F213" s="65" t="s">
        <v>57</v>
      </c>
    </row>
    <row r="214" ht="15.75" customHeight="1">
      <c r="B214" s="65"/>
      <c r="C214" s="65"/>
      <c r="D214" s="65"/>
      <c r="F214" s="65" t="s">
        <v>57</v>
      </c>
    </row>
    <row r="215" ht="15.75" customHeight="1">
      <c r="B215" s="65"/>
      <c r="C215" s="65"/>
      <c r="D215" s="65"/>
      <c r="F215" s="65" t="s">
        <v>57</v>
      </c>
    </row>
    <row r="216" ht="15.75" customHeight="1">
      <c r="B216" s="65"/>
      <c r="C216" s="65"/>
      <c r="D216" s="65"/>
      <c r="F216" s="65" t="s">
        <v>57</v>
      </c>
    </row>
    <row r="217" ht="15.75" customHeight="1">
      <c r="B217" s="65"/>
      <c r="C217" s="65"/>
      <c r="D217" s="65"/>
      <c r="F217" s="65" t="s">
        <v>57</v>
      </c>
    </row>
    <row r="218" ht="15.75" customHeight="1">
      <c r="B218" s="65"/>
      <c r="C218" s="65"/>
      <c r="D218" s="65"/>
      <c r="F218" s="65" t="s">
        <v>57</v>
      </c>
    </row>
    <row r="219" ht="15.75" customHeight="1">
      <c r="B219" s="65"/>
      <c r="C219" s="65"/>
      <c r="D219" s="65"/>
      <c r="F219" s="65" t="s">
        <v>57</v>
      </c>
    </row>
    <row r="220" ht="15.75" customHeight="1">
      <c r="B220" s="65"/>
      <c r="C220" s="65"/>
      <c r="D220" s="65"/>
      <c r="F220" s="65" t="s">
        <v>57</v>
      </c>
    </row>
    <row r="221" ht="15.75" customHeight="1">
      <c r="B221" s="65"/>
      <c r="C221" s="65"/>
      <c r="D221" s="65"/>
      <c r="F221" s="65" t="s">
        <v>57</v>
      </c>
    </row>
    <row r="222" ht="15.75" customHeight="1">
      <c r="B222" s="65"/>
      <c r="C222" s="65"/>
      <c r="D222" s="65"/>
      <c r="F222" s="65" t="s">
        <v>57</v>
      </c>
    </row>
    <row r="223" ht="15.75" customHeight="1">
      <c r="B223" s="65"/>
      <c r="C223" s="65"/>
      <c r="D223" s="65"/>
      <c r="F223" s="65" t="s">
        <v>57</v>
      </c>
    </row>
    <row r="224" ht="15.75" customHeight="1">
      <c r="B224" s="65"/>
      <c r="C224" s="65"/>
      <c r="D224" s="65"/>
      <c r="F224" s="65" t="s">
        <v>57</v>
      </c>
    </row>
    <row r="225" ht="15.75" customHeight="1">
      <c r="B225" s="65"/>
      <c r="C225" s="65"/>
      <c r="D225" s="65"/>
      <c r="F225" s="65" t="s">
        <v>57</v>
      </c>
    </row>
    <row r="226" ht="15.75" customHeight="1">
      <c r="B226" s="65"/>
      <c r="C226" s="65"/>
      <c r="D226" s="65"/>
      <c r="F226" s="65" t="s">
        <v>57</v>
      </c>
    </row>
    <row r="227" ht="15.75" customHeight="1">
      <c r="B227" s="65"/>
      <c r="C227" s="65"/>
      <c r="D227" s="65"/>
      <c r="F227" s="65" t="s">
        <v>57</v>
      </c>
    </row>
    <row r="228" ht="15.75" customHeight="1">
      <c r="B228" s="65"/>
      <c r="C228" s="65"/>
      <c r="D228" s="65"/>
      <c r="F228" s="65" t="s">
        <v>57</v>
      </c>
    </row>
    <row r="229" ht="15.75" customHeight="1">
      <c r="B229" s="65"/>
      <c r="C229" s="65"/>
      <c r="D229" s="65"/>
      <c r="F229" s="65" t="s">
        <v>57</v>
      </c>
    </row>
    <row r="230" ht="15.75" customHeight="1">
      <c r="B230" s="65"/>
      <c r="C230" s="65"/>
      <c r="D230" s="65"/>
      <c r="F230" s="65" t="s">
        <v>57</v>
      </c>
    </row>
    <row r="231" ht="15.75" customHeight="1">
      <c r="B231" s="65"/>
      <c r="C231" s="65"/>
      <c r="D231" s="65"/>
      <c r="F231" s="65" t="s">
        <v>57</v>
      </c>
    </row>
    <row r="232" ht="15.75" customHeight="1">
      <c r="B232" s="65"/>
      <c r="C232" s="65"/>
      <c r="D232" s="65"/>
      <c r="F232" s="65" t="s">
        <v>57</v>
      </c>
    </row>
    <row r="233" ht="15.75" customHeight="1">
      <c r="B233" s="65"/>
      <c r="C233" s="65"/>
      <c r="D233" s="65"/>
      <c r="F233" s="65" t="s">
        <v>57</v>
      </c>
    </row>
    <row r="234" ht="15.75" customHeight="1">
      <c r="B234" s="65"/>
      <c r="C234" s="65"/>
      <c r="D234" s="65"/>
      <c r="F234" s="65" t="s">
        <v>57</v>
      </c>
    </row>
    <row r="235" ht="15.75" customHeight="1">
      <c r="B235" s="65"/>
      <c r="C235" s="65"/>
      <c r="D235" s="65"/>
      <c r="F235" s="65" t="s">
        <v>57</v>
      </c>
    </row>
    <row r="236" ht="15.75" customHeight="1">
      <c r="B236" s="65"/>
      <c r="C236" s="65"/>
      <c r="D236" s="65"/>
      <c r="F236" s="65" t="s">
        <v>57</v>
      </c>
    </row>
    <row r="237" ht="15.75" customHeight="1">
      <c r="B237" s="65"/>
      <c r="C237" s="65"/>
      <c r="D237" s="65"/>
      <c r="F237" s="65" t="s">
        <v>57</v>
      </c>
    </row>
    <row r="238" ht="15.75" customHeight="1">
      <c r="B238" s="65"/>
      <c r="C238" s="65"/>
      <c r="D238" s="65"/>
      <c r="F238" s="65" t="s">
        <v>57</v>
      </c>
    </row>
    <row r="239" ht="15.75" customHeight="1">
      <c r="B239" s="65"/>
      <c r="C239" s="65"/>
      <c r="D239" s="65"/>
      <c r="F239" s="65" t="s">
        <v>57</v>
      </c>
    </row>
    <row r="240" ht="15.75" customHeight="1">
      <c r="B240" s="65"/>
      <c r="C240" s="65"/>
      <c r="D240" s="65"/>
      <c r="F240" s="65" t="s">
        <v>57</v>
      </c>
    </row>
    <row r="241" ht="15.75" customHeight="1">
      <c r="B241" s="65"/>
      <c r="C241" s="65"/>
      <c r="D241" s="65"/>
      <c r="F241" s="65" t="s">
        <v>57</v>
      </c>
    </row>
    <row r="242" ht="15.75" customHeight="1">
      <c r="B242" s="65"/>
      <c r="C242" s="65"/>
      <c r="D242" s="65"/>
      <c r="F242" s="65" t="s">
        <v>57</v>
      </c>
    </row>
    <row r="243" ht="15.75" customHeight="1">
      <c r="B243" s="65"/>
      <c r="C243" s="65"/>
      <c r="D243" s="65"/>
      <c r="F243" s="65" t="s">
        <v>57</v>
      </c>
    </row>
    <row r="244" ht="15.75" customHeight="1">
      <c r="B244" s="65"/>
      <c r="C244" s="65"/>
      <c r="D244" s="65"/>
      <c r="F244" s="65" t="s">
        <v>57</v>
      </c>
    </row>
    <row r="245" ht="15.75" customHeight="1">
      <c r="B245" s="65"/>
      <c r="C245" s="65"/>
      <c r="D245" s="65"/>
      <c r="F245" s="65" t="s">
        <v>57</v>
      </c>
    </row>
    <row r="246" ht="15.75" customHeight="1">
      <c r="B246" s="65"/>
      <c r="C246" s="65"/>
      <c r="D246" s="65"/>
      <c r="F246" s="65" t="s">
        <v>57</v>
      </c>
    </row>
    <row r="247" ht="15.75" customHeight="1">
      <c r="B247" s="65"/>
      <c r="C247" s="65"/>
      <c r="D247" s="65"/>
      <c r="F247" s="65" t="s">
        <v>57</v>
      </c>
    </row>
    <row r="248" ht="15.75" customHeight="1">
      <c r="B248" s="65"/>
      <c r="C248" s="65"/>
      <c r="D248" s="65"/>
      <c r="F248" s="65" t="s">
        <v>57</v>
      </c>
    </row>
    <row r="249" ht="15.75" customHeight="1">
      <c r="B249" s="65"/>
      <c r="C249" s="65"/>
      <c r="D249" s="65"/>
      <c r="F249" s="65" t="s">
        <v>57</v>
      </c>
    </row>
    <row r="250" ht="15.75" customHeight="1">
      <c r="B250" s="65"/>
      <c r="C250" s="65"/>
      <c r="D250" s="65"/>
      <c r="F250" s="65" t="s">
        <v>57</v>
      </c>
    </row>
    <row r="251" ht="15.75" customHeight="1">
      <c r="B251" s="65"/>
      <c r="C251" s="65"/>
      <c r="D251" s="65"/>
      <c r="F251" s="65" t="s">
        <v>57</v>
      </c>
    </row>
    <row r="252" ht="15.75" customHeight="1">
      <c r="B252" s="65"/>
      <c r="C252" s="65"/>
      <c r="D252" s="65"/>
      <c r="F252" s="65" t="s">
        <v>57</v>
      </c>
    </row>
    <row r="253" ht="15.75" customHeight="1">
      <c r="B253" s="65"/>
      <c r="C253" s="65"/>
      <c r="D253" s="65"/>
      <c r="F253" s="65" t="s">
        <v>57</v>
      </c>
    </row>
    <row r="254" ht="15.75" customHeight="1">
      <c r="B254" s="65"/>
      <c r="C254" s="65"/>
      <c r="D254" s="65"/>
      <c r="F254" s="65" t="s">
        <v>57</v>
      </c>
    </row>
    <row r="255" ht="15.75" customHeight="1">
      <c r="B255" s="65"/>
      <c r="C255" s="65"/>
      <c r="D255" s="65"/>
      <c r="F255" s="65" t="s">
        <v>57</v>
      </c>
    </row>
    <row r="256" ht="15.75" customHeight="1">
      <c r="B256" s="65"/>
      <c r="C256" s="65"/>
      <c r="D256" s="65"/>
      <c r="F256" s="65" t="s">
        <v>57</v>
      </c>
    </row>
    <row r="257" ht="15.75" customHeight="1">
      <c r="B257" s="65"/>
      <c r="C257" s="65"/>
      <c r="D257" s="65"/>
      <c r="F257" s="65" t="s">
        <v>57</v>
      </c>
    </row>
    <row r="258" ht="15.75" customHeight="1">
      <c r="B258" s="65"/>
      <c r="C258" s="65"/>
      <c r="D258" s="65"/>
      <c r="F258" s="65" t="s">
        <v>57</v>
      </c>
    </row>
    <row r="259" ht="15.75" customHeight="1">
      <c r="B259" s="65"/>
      <c r="C259" s="65"/>
      <c r="D259" s="65"/>
      <c r="F259" s="65" t="s">
        <v>57</v>
      </c>
    </row>
    <row r="260" ht="15.75" customHeight="1">
      <c r="B260" s="65"/>
      <c r="C260" s="65"/>
      <c r="D260" s="65"/>
      <c r="F260" s="65" t="s">
        <v>57</v>
      </c>
    </row>
    <row r="261" ht="15.75" customHeight="1">
      <c r="B261" s="65"/>
      <c r="C261" s="65"/>
      <c r="D261" s="65"/>
      <c r="F261" s="65" t="s">
        <v>57</v>
      </c>
    </row>
    <row r="262" ht="15.75" customHeight="1">
      <c r="B262" s="65"/>
      <c r="C262" s="65"/>
      <c r="D262" s="65"/>
      <c r="F262" s="65" t="s">
        <v>57</v>
      </c>
    </row>
    <row r="263" ht="15.75" customHeight="1">
      <c r="B263" s="65"/>
      <c r="C263" s="65"/>
      <c r="D263" s="65"/>
      <c r="F263" s="65" t="s">
        <v>57</v>
      </c>
    </row>
    <row r="264" ht="15.75" customHeight="1">
      <c r="B264" s="65"/>
      <c r="C264" s="65"/>
      <c r="D264" s="65"/>
      <c r="F264" s="65" t="s">
        <v>57</v>
      </c>
    </row>
    <row r="265" ht="15.75" customHeight="1">
      <c r="B265" s="65"/>
      <c r="C265" s="65"/>
      <c r="D265" s="65"/>
      <c r="F265" s="65" t="s">
        <v>57</v>
      </c>
    </row>
    <row r="266" ht="15.75" customHeight="1">
      <c r="B266" s="65"/>
      <c r="C266" s="65"/>
      <c r="D266" s="65"/>
      <c r="F266" s="65" t="s">
        <v>57</v>
      </c>
    </row>
    <row r="267" ht="15.75" customHeight="1">
      <c r="B267" s="65"/>
      <c r="C267" s="65"/>
      <c r="D267" s="65"/>
      <c r="F267" s="65" t="s">
        <v>57</v>
      </c>
    </row>
    <row r="268" ht="15.75" customHeight="1">
      <c r="B268" s="65"/>
      <c r="C268" s="65"/>
      <c r="D268" s="65"/>
      <c r="F268" s="65" t="s">
        <v>57</v>
      </c>
    </row>
    <row r="269" ht="15.75" customHeight="1">
      <c r="B269" s="65"/>
      <c r="C269" s="65"/>
      <c r="D269" s="65"/>
      <c r="F269" s="65" t="s">
        <v>57</v>
      </c>
    </row>
    <row r="270" ht="15.75" customHeight="1">
      <c r="B270" s="65"/>
      <c r="C270" s="65"/>
      <c r="D270" s="65"/>
      <c r="F270" s="65" t="s">
        <v>57</v>
      </c>
    </row>
    <row r="271" ht="15.75" customHeight="1">
      <c r="B271" s="65"/>
      <c r="C271" s="65"/>
      <c r="D271" s="65"/>
      <c r="F271" s="65" t="s">
        <v>57</v>
      </c>
    </row>
    <row r="272" ht="15.75" customHeight="1">
      <c r="B272" s="65"/>
      <c r="C272" s="65"/>
      <c r="D272" s="65"/>
      <c r="F272" s="65" t="s">
        <v>57</v>
      </c>
    </row>
    <row r="273" ht="15.75" customHeight="1">
      <c r="B273" s="65"/>
      <c r="C273" s="65"/>
      <c r="D273" s="65"/>
      <c r="F273" s="65" t="s">
        <v>57</v>
      </c>
    </row>
    <row r="274" ht="15.75" customHeight="1">
      <c r="B274" s="65"/>
      <c r="C274" s="65"/>
      <c r="D274" s="65"/>
      <c r="F274" s="65" t="s">
        <v>57</v>
      </c>
    </row>
    <row r="275" ht="15.75" customHeight="1">
      <c r="B275" s="65"/>
      <c r="C275" s="65"/>
      <c r="D275" s="65"/>
      <c r="F275" s="65" t="s">
        <v>57</v>
      </c>
    </row>
    <row r="276" ht="15.75" customHeight="1">
      <c r="B276" s="65"/>
      <c r="C276" s="65"/>
      <c r="D276" s="65"/>
      <c r="F276" s="65" t="s">
        <v>57</v>
      </c>
    </row>
    <row r="277" ht="15.75" customHeight="1">
      <c r="B277" s="65"/>
      <c r="C277" s="65"/>
      <c r="D277" s="65"/>
      <c r="F277" s="65" t="s">
        <v>57</v>
      </c>
    </row>
    <row r="278" ht="15.75" customHeight="1">
      <c r="B278" s="65"/>
      <c r="C278" s="65"/>
      <c r="D278" s="65"/>
      <c r="F278" s="65" t="s">
        <v>57</v>
      </c>
    </row>
    <row r="279" ht="15.75" customHeight="1">
      <c r="B279" s="65"/>
      <c r="C279" s="65"/>
      <c r="D279" s="65"/>
      <c r="F279" s="65" t="s">
        <v>57</v>
      </c>
    </row>
    <row r="280" ht="15.75" customHeight="1">
      <c r="B280" s="65"/>
      <c r="C280" s="65"/>
      <c r="D280" s="65"/>
      <c r="F280" s="65" t="s">
        <v>57</v>
      </c>
    </row>
    <row r="281" ht="15.75" customHeight="1">
      <c r="B281" s="65"/>
      <c r="C281" s="65"/>
      <c r="D281" s="65"/>
      <c r="F281" s="65" t="s">
        <v>57</v>
      </c>
    </row>
    <row r="282" ht="15.75" customHeight="1">
      <c r="B282" s="65"/>
      <c r="C282" s="65"/>
      <c r="D282" s="65"/>
      <c r="F282" s="65" t="s">
        <v>57</v>
      </c>
    </row>
    <row r="283" ht="15.75" customHeight="1">
      <c r="B283" s="65"/>
      <c r="C283" s="65"/>
      <c r="D283" s="65"/>
      <c r="F283" s="65" t="s">
        <v>57</v>
      </c>
    </row>
    <row r="284" ht="15.75" customHeight="1">
      <c r="B284" s="65"/>
      <c r="C284" s="65"/>
      <c r="D284" s="65"/>
      <c r="F284" s="65" t="s">
        <v>57</v>
      </c>
    </row>
    <row r="285" ht="15.75" customHeight="1">
      <c r="B285" s="65"/>
      <c r="C285" s="65"/>
      <c r="D285" s="65"/>
      <c r="F285" s="65" t="s">
        <v>57</v>
      </c>
    </row>
    <row r="286" ht="15.75" customHeight="1">
      <c r="B286" s="65"/>
      <c r="C286" s="65"/>
      <c r="D286" s="65"/>
      <c r="F286" s="65" t="s">
        <v>57</v>
      </c>
    </row>
    <row r="287" ht="15.75" customHeight="1">
      <c r="B287" s="65"/>
      <c r="C287" s="65"/>
      <c r="D287" s="65"/>
      <c r="F287" s="65" t="s">
        <v>57</v>
      </c>
    </row>
    <row r="288" ht="15.75" customHeight="1">
      <c r="B288" s="65"/>
      <c r="C288" s="65"/>
      <c r="D288" s="65"/>
      <c r="F288" s="65" t="s">
        <v>57</v>
      </c>
    </row>
    <row r="289" ht="15.75" customHeight="1">
      <c r="B289" s="65"/>
      <c r="C289" s="65"/>
      <c r="D289" s="65"/>
      <c r="F289" s="65" t="s">
        <v>57</v>
      </c>
    </row>
    <row r="290" ht="15.75" customHeight="1">
      <c r="B290" s="65"/>
      <c r="C290" s="65"/>
      <c r="D290" s="65"/>
      <c r="F290" s="65" t="s">
        <v>57</v>
      </c>
    </row>
    <row r="291" ht="15.75" customHeight="1">
      <c r="B291" s="65"/>
      <c r="C291" s="65"/>
      <c r="D291" s="65"/>
      <c r="F291" s="65" t="s">
        <v>57</v>
      </c>
    </row>
    <row r="292" ht="15.75" customHeight="1">
      <c r="B292" s="65"/>
      <c r="C292" s="65"/>
      <c r="D292" s="65"/>
      <c r="F292" s="65" t="s">
        <v>57</v>
      </c>
    </row>
    <row r="293" ht="15.75" customHeight="1">
      <c r="B293" s="65"/>
      <c r="C293" s="65"/>
      <c r="D293" s="65"/>
      <c r="F293" s="65" t="s">
        <v>57</v>
      </c>
    </row>
    <row r="294" ht="15.75" customHeight="1">
      <c r="B294" s="65"/>
      <c r="C294" s="65"/>
      <c r="D294" s="65"/>
      <c r="F294" s="65" t="s">
        <v>57</v>
      </c>
    </row>
    <row r="295" ht="15.75" customHeight="1">
      <c r="B295" s="65"/>
      <c r="C295" s="65"/>
      <c r="D295" s="65"/>
      <c r="F295" s="65" t="s">
        <v>57</v>
      </c>
    </row>
    <row r="296" ht="15.75" customHeight="1">
      <c r="B296" s="65"/>
      <c r="C296" s="65"/>
      <c r="D296" s="65"/>
      <c r="F296" s="65" t="s">
        <v>57</v>
      </c>
    </row>
    <row r="297" ht="15.75" customHeight="1">
      <c r="B297" s="65"/>
      <c r="C297" s="65"/>
      <c r="D297" s="65"/>
      <c r="F297" s="65" t="s">
        <v>57</v>
      </c>
    </row>
    <row r="298" ht="15.75" customHeight="1">
      <c r="B298" s="65"/>
      <c r="C298" s="65"/>
      <c r="D298" s="65"/>
      <c r="F298" s="65" t="s">
        <v>57</v>
      </c>
    </row>
    <row r="299" ht="15.75" customHeight="1">
      <c r="B299" s="65"/>
      <c r="C299" s="65"/>
      <c r="D299" s="65"/>
      <c r="F299" s="65" t="s">
        <v>57</v>
      </c>
    </row>
    <row r="300" ht="15.75" customHeight="1">
      <c r="B300" s="65"/>
      <c r="C300" s="65"/>
      <c r="D300" s="65"/>
      <c r="F300" s="65" t="s">
        <v>57</v>
      </c>
    </row>
    <row r="301" ht="15.75" customHeight="1">
      <c r="B301" s="65"/>
      <c r="C301" s="65"/>
      <c r="D301" s="65"/>
      <c r="F301" s="65" t="s">
        <v>57</v>
      </c>
    </row>
    <row r="302" ht="15.75" customHeight="1">
      <c r="B302" s="65"/>
      <c r="C302" s="65"/>
      <c r="D302" s="65"/>
      <c r="F302" s="65" t="s">
        <v>57</v>
      </c>
    </row>
    <row r="303" ht="15.75" customHeight="1">
      <c r="B303" s="65"/>
      <c r="C303" s="65"/>
      <c r="D303" s="65"/>
      <c r="F303" s="65" t="s">
        <v>57</v>
      </c>
    </row>
    <row r="304" ht="15.75" customHeight="1">
      <c r="B304" s="65"/>
      <c r="C304" s="65"/>
      <c r="D304" s="65"/>
      <c r="F304" s="65" t="s">
        <v>57</v>
      </c>
    </row>
    <row r="305" ht="15.75" customHeight="1">
      <c r="B305" s="65"/>
      <c r="C305" s="65"/>
      <c r="D305" s="65"/>
      <c r="F305" s="65" t="s">
        <v>57</v>
      </c>
    </row>
    <row r="306" ht="15.75" customHeight="1">
      <c r="B306" s="65"/>
      <c r="C306" s="65"/>
      <c r="D306" s="65"/>
      <c r="F306" s="65" t="s">
        <v>57</v>
      </c>
    </row>
    <row r="307" ht="15.75" customHeight="1">
      <c r="B307" s="65"/>
      <c r="C307" s="65"/>
      <c r="D307" s="65"/>
      <c r="F307" s="65" t="s">
        <v>57</v>
      </c>
    </row>
    <row r="308" ht="15.75" customHeight="1">
      <c r="B308" s="65"/>
      <c r="C308" s="65"/>
      <c r="D308" s="65"/>
      <c r="F308" s="65" t="s">
        <v>57</v>
      </c>
    </row>
    <row r="309" ht="15.75" customHeight="1">
      <c r="B309" s="65"/>
      <c r="C309" s="65"/>
      <c r="D309" s="65"/>
      <c r="F309" s="65" t="s">
        <v>57</v>
      </c>
    </row>
    <row r="310" ht="15.75" customHeight="1">
      <c r="B310" s="65"/>
      <c r="C310" s="65"/>
      <c r="D310" s="65"/>
      <c r="F310" s="65" t="s">
        <v>57</v>
      </c>
    </row>
    <row r="311" ht="15.75" customHeight="1">
      <c r="B311" s="65"/>
      <c r="C311" s="65"/>
      <c r="D311" s="65"/>
      <c r="F311" s="65" t="s">
        <v>57</v>
      </c>
    </row>
    <row r="312" ht="15.75" customHeight="1">
      <c r="B312" s="65"/>
      <c r="C312" s="65"/>
      <c r="D312" s="65"/>
      <c r="F312" s="65" t="s">
        <v>57</v>
      </c>
    </row>
    <row r="313" ht="15.75" customHeight="1">
      <c r="B313" s="65"/>
      <c r="C313" s="65"/>
      <c r="D313" s="65"/>
      <c r="F313" s="65" t="s">
        <v>57</v>
      </c>
    </row>
    <row r="314" ht="15.75" customHeight="1">
      <c r="B314" s="65"/>
      <c r="C314" s="65"/>
      <c r="D314" s="65"/>
      <c r="F314" s="65" t="s">
        <v>57</v>
      </c>
    </row>
    <row r="315" ht="15.75" customHeight="1">
      <c r="B315" s="65"/>
      <c r="C315" s="65"/>
      <c r="D315" s="65"/>
      <c r="F315" s="65" t="s">
        <v>57</v>
      </c>
    </row>
    <row r="316" ht="15.75" customHeight="1">
      <c r="B316" s="65"/>
      <c r="C316" s="65"/>
      <c r="D316" s="65"/>
      <c r="F316" s="65" t="s">
        <v>57</v>
      </c>
    </row>
    <row r="317" ht="15.75" customHeight="1">
      <c r="B317" s="65"/>
      <c r="C317" s="65"/>
      <c r="D317" s="65"/>
      <c r="F317" s="65" t="s">
        <v>57</v>
      </c>
    </row>
    <row r="318" ht="15.75" customHeight="1">
      <c r="B318" s="65"/>
      <c r="C318" s="65"/>
      <c r="D318" s="65"/>
      <c r="F318" s="65" t="s">
        <v>57</v>
      </c>
    </row>
    <row r="319" ht="15.75" customHeight="1">
      <c r="B319" s="65"/>
      <c r="C319" s="65"/>
      <c r="D319" s="65"/>
      <c r="F319" s="65" t="s">
        <v>57</v>
      </c>
    </row>
    <row r="320" ht="15.75" customHeight="1">
      <c r="B320" s="65"/>
      <c r="C320" s="65"/>
      <c r="D320" s="65"/>
      <c r="F320" s="65" t="s">
        <v>57</v>
      </c>
    </row>
    <row r="321" ht="15.75" customHeight="1">
      <c r="B321" s="65"/>
      <c r="C321" s="65"/>
      <c r="D321" s="65"/>
      <c r="F321" s="65" t="s">
        <v>57</v>
      </c>
    </row>
    <row r="322" ht="15.75" customHeight="1">
      <c r="B322" s="65"/>
      <c r="C322" s="65"/>
      <c r="D322" s="65"/>
      <c r="F322" s="65" t="s">
        <v>57</v>
      </c>
    </row>
    <row r="323" ht="15.75" customHeight="1">
      <c r="B323" s="65"/>
      <c r="C323" s="65"/>
      <c r="D323" s="65"/>
      <c r="F323" s="65" t="s">
        <v>57</v>
      </c>
    </row>
    <row r="324" ht="15.75" customHeight="1">
      <c r="B324" s="65"/>
      <c r="C324" s="65"/>
      <c r="D324" s="65"/>
      <c r="F324" s="65" t="s">
        <v>57</v>
      </c>
    </row>
    <row r="325" ht="15.75" customHeight="1">
      <c r="B325" s="65"/>
      <c r="C325" s="65"/>
      <c r="D325" s="65"/>
      <c r="F325" s="65" t="s">
        <v>57</v>
      </c>
    </row>
    <row r="326" ht="15.75" customHeight="1">
      <c r="B326" s="65"/>
      <c r="C326" s="65"/>
      <c r="D326" s="65"/>
      <c r="F326" s="65" t="s">
        <v>57</v>
      </c>
    </row>
    <row r="327" ht="15.75" customHeight="1">
      <c r="B327" s="65"/>
      <c r="C327" s="65"/>
      <c r="D327" s="65"/>
      <c r="F327" s="65" t="s">
        <v>57</v>
      </c>
    </row>
    <row r="328" ht="15.75" customHeight="1">
      <c r="B328" s="65"/>
      <c r="C328" s="65"/>
      <c r="D328" s="65"/>
      <c r="F328" s="65" t="s">
        <v>57</v>
      </c>
    </row>
    <row r="329" ht="15.75" customHeight="1">
      <c r="B329" s="65"/>
      <c r="C329" s="65"/>
      <c r="D329" s="65"/>
      <c r="F329" s="65" t="s">
        <v>57</v>
      </c>
    </row>
    <row r="330" ht="15.75" customHeight="1">
      <c r="B330" s="65"/>
      <c r="C330" s="65"/>
      <c r="D330" s="65"/>
      <c r="F330" s="65" t="s">
        <v>57</v>
      </c>
    </row>
    <row r="331" ht="15.75" customHeight="1">
      <c r="B331" s="65"/>
      <c r="C331" s="65"/>
      <c r="D331" s="65"/>
      <c r="F331" s="65" t="s">
        <v>57</v>
      </c>
    </row>
    <row r="332" ht="15.75" customHeight="1">
      <c r="B332" s="65"/>
      <c r="C332" s="65"/>
      <c r="D332" s="65"/>
      <c r="F332" s="65" t="s">
        <v>57</v>
      </c>
    </row>
    <row r="333" ht="15.75" customHeight="1">
      <c r="B333" s="65"/>
      <c r="C333" s="65"/>
      <c r="D333" s="65"/>
      <c r="F333" s="65" t="s">
        <v>57</v>
      </c>
    </row>
    <row r="334" ht="15.75" customHeight="1">
      <c r="B334" s="65"/>
      <c r="C334" s="65"/>
      <c r="D334" s="65"/>
      <c r="F334" s="65" t="s">
        <v>57</v>
      </c>
    </row>
    <row r="335" ht="15.75" customHeight="1">
      <c r="B335" s="65"/>
      <c r="C335" s="65"/>
      <c r="D335" s="65"/>
      <c r="F335" s="65" t="s">
        <v>57</v>
      </c>
    </row>
    <row r="336" ht="15.75" customHeight="1">
      <c r="B336" s="65"/>
      <c r="C336" s="65"/>
      <c r="D336" s="65"/>
      <c r="F336" s="65" t="s">
        <v>57</v>
      </c>
    </row>
    <row r="337" ht="15.75" customHeight="1">
      <c r="B337" s="65"/>
      <c r="C337" s="65"/>
      <c r="D337" s="65"/>
      <c r="F337" s="65" t="s">
        <v>57</v>
      </c>
    </row>
    <row r="338" ht="15.75" customHeight="1">
      <c r="B338" s="65"/>
      <c r="C338" s="65"/>
      <c r="D338" s="65"/>
      <c r="F338" s="65" t="s">
        <v>57</v>
      </c>
    </row>
    <row r="339" ht="15.75" customHeight="1">
      <c r="B339" s="65"/>
      <c r="C339" s="65"/>
      <c r="D339" s="65"/>
      <c r="F339" s="65" t="s">
        <v>57</v>
      </c>
    </row>
    <row r="340" ht="15.75" customHeight="1">
      <c r="B340" s="65"/>
      <c r="C340" s="65"/>
      <c r="D340" s="65"/>
      <c r="F340" s="65" t="s">
        <v>57</v>
      </c>
    </row>
    <row r="341" ht="15.75" customHeight="1">
      <c r="B341" s="65"/>
      <c r="C341" s="65"/>
      <c r="D341" s="65"/>
      <c r="F341" s="65" t="s">
        <v>57</v>
      </c>
    </row>
    <row r="342" ht="15.75" customHeight="1">
      <c r="B342" s="65"/>
      <c r="C342" s="65"/>
      <c r="D342" s="65"/>
      <c r="F342" s="65" t="s">
        <v>57</v>
      </c>
    </row>
    <row r="343" ht="15.75" customHeight="1">
      <c r="B343" s="65"/>
      <c r="C343" s="65"/>
      <c r="D343" s="65"/>
      <c r="F343" s="65" t="s">
        <v>57</v>
      </c>
    </row>
    <row r="344" ht="15.75" customHeight="1">
      <c r="B344" s="65"/>
      <c r="C344" s="65"/>
      <c r="D344" s="65"/>
      <c r="F344" s="65" t="s">
        <v>57</v>
      </c>
    </row>
    <row r="345" ht="15.75" customHeight="1">
      <c r="B345" s="65"/>
      <c r="C345" s="65"/>
      <c r="D345" s="65"/>
      <c r="F345" s="65" t="s">
        <v>57</v>
      </c>
    </row>
    <row r="346" ht="15.75" customHeight="1">
      <c r="B346" s="65"/>
      <c r="C346" s="65"/>
      <c r="D346" s="65"/>
      <c r="F346" s="65" t="s">
        <v>57</v>
      </c>
    </row>
    <row r="347" ht="15.75" customHeight="1">
      <c r="B347" s="65"/>
      <c r="C347" s="65"/>
      <c r="D347" s="65"/>
      <c r="F347" s="65" t="s">
        <v>57</v>
      </c>
    </row>
    <row r="348" ht="15.75" customHeight="1">
      <c r="B348" s="65"/>
      <c r="C348" s="65"/>
      <c r="D348" s="65"/>
      <c r="F348" s="65" t="s">
        <v>57</v>
      </c>
    </row>
    <row r="349" ht="15.75" customHeight="1">
      <c r="B349" s="65"/>
      <c r="C349" s="65"/>
      <c r="D349" s="65"/>
      <c r="F349" s="65" t="s">
        <v>57</v>
      </c>
    </row>
    <row r="350" ht="15.75" customHeight="1">
      <c r="B350" s="65"/>
      <c r="C350" s="65"/>
      <c r="D350" s="65"/>
      <c r="F350" s="65" t="s">
        <v>57</v>
      </c>
    </row>
    <row r="351" ht="15.75" customHeight="1">
      <c r="B351" s="65"/>
      <c r="C351" s="65"/>
      <c r="D351" s="65"/>
      <c r="F351" s="65" t="s">
        <v>57</v>
      </c>
    </row>
    <row r="352" ht="15.75" customHeight="1">
      <c r="B352" s="65"/>
      <c r="C352" s="65"/>
      <c r="D352" s="65"/>
      <c r="F352" s="65" t="s">
        <v>57</v>
      </c>
    </row>
    <row r="353" ht="15.75" customHeight="1">
      <c r="B353" s="65"/>
      <c r="C353" s="65"/>
      <c r="D353" s="65"/>
      <c r="F353" s="65" t="s">
        <v>57</v>
      </c>
    </row>
    <row r="354" ht="15.75" customHeight="1">
      <c r="B354" s="65"/>
      <c r="C354" s="65"/>
      <c r="D354" s="65"/>
      <c r="F354" s="65" t="s">
        <v>57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5:F5"/>
    <mergeCell ref="A57:D57"/>
    <mergeCell ref="E57:F5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4" width="22.0"/>
    <col customWidth="1" min="5" max="6" width="18.0"/>
    <col customWidth="1" min="7" max="26" width="8.71"/>
  </cols>
  <sheetData>
    <row r="1" ht="36.0" customHeight="1">
      <c r="A1" s="68" t="s">
        <v>58</v>
      </c>
      <c r="B1" s="2"/>
      <c r="C1" s="2"/>
      <c r="D1" s="2"/>
      <c r="E1" s="2"/>
      <c r="F1" s="3"/>
    </row>
    <row r="2" ht="18.0" customHeight="1">
      <c r="A2" s="4" t="s">
        <v>59</v>
      </c>
      <c r="B2" s="2"/>
      <c r="C2" s="2"/>
      <c r="D2" s="2"/>
      <c r="E2" s="2"/>
      <c r="F2" s="3"/>
    </row>
    <row r="3" ht="9.75" customHeight="1"/>
    <row r="4" ht="31.5" customHeight="1">
      <c r="A4" s="69" t="s">
        <v>4</v>
      </c>
      <c r="B4" s="69" t="s">
        <v>60</v>
      </c>
      <c r="C4" s="69" t="s">
        <v>61</v>
      </c>
      <c r="D4" s="69" t="s">
        <v>62</v>
      </c>
      <c r="E4" s="69" t="s">
        <v>63</v>
      </c>
      <c r="F4" s="69" t="s">
        <v>64</v>
      </c>
    </row>
    <row r="5" ht="25.5" customHeight="1">
      <c r="A5" s="70" t="s">
        <v>12</v>
      </c>
      <c r="B5" s="71">
        <f>SUMIFS('Daily Ledger'!F5:F304,'Daily Ledger'!B5:B304,"INCOME",'Daily Ledger'!C5:C304,A5)</f>
        <v>95000</v>
      </c>
      <c r="C5" s="72">
        <f>SUMIFS('Daily Ledger'!F5:F304,'Daily Ledger'!B5:B304,"EXPENSE",'Daily Ledger'!C5:C304,A5)</f>
        <v>0</v>
      </c>
      <c r="D5" s="73">
        <f t="shared" ref="D5:D12" si="2">B5-C5</f>
        <v>95000</v>
      </c>
      <c r="E5" s="74">
        <f t="shared" ref="E5:F5" si="1">IF(B14=0,"-",B5/B14)</f>
        <v>0.927734375</v>
      </c>
      <c r="F5" s="74">
        <f t="shared" si="1"/>
        <v>0</v>
      </c>
    </row>
    <row r="6" ht="25.5" customHeight="1">
      <c r="A6" s="75" t="s">
        <v>22</v>
      </c>
      <c r="B6" s="71">
        <f>SUMIFS('Daily Ledger'!F5:F304,'Daily Ledger'!B5:B304,"INCOME",'Daily Ledger'!C5:C304,A6)</f>
        <v>7400</v>
      </c>
      <c r="C6" s="72">
        <f>SUMIFS('Daily Ledger'!F5:F304,'Daily Ledger'!B5:B304,"EXPENSE",'Daily Ledger'!C5:C304,A6)</f>
        <v>9700</v>
      </c>
      <c r="D6" s="73">
        <f t="shared" si="2"/>
        <v>-2300</v>
      </c>
      <c r="E6" s="74">
        <f t="shared" ref="E6:F6" si="3">IF(B14=0,"-",B6/B14)</f>
        <v>0.072265625</v>
      </c>
      <c r="F6" s="74">
        <f t="shared" si="3"/>
        <v>0.1333333333</v>
      </c>
    </row>
    <row r="7" ht="25.5" customHeight="1">
      <c r="A7" s="76" t="s">
        <v>65</v>
      </c>
      <c r="B7" s="71">
        <f>SUMIFS('Daily Ledger'!F5:F304,'Daily Ledger'!B5:B304,"INCOME",'Daily Ledger'!C5:C304,A7)</f>
        <v>0</v>
      </c>
      <c r="C7" s="72">
        <f>SUMIFS('Daily Ledger'!F5:F304,'Daily Ledger'!B5:B304,"EXPENSE",'Daily Ledger'!C5:C304,A7)</f>
        <v>0</v>
      </c>
      <c r="D7" s="73">
        <f t="shared" si="2"/>
        <v>0</v>
      </c>
      <c r="E7" s="74">
        <f t="shared" ref="E7:F7" si="4">IF(B14=0,"-",B7/B14)</f>
        <v>0</v>
      </c>
      <c r="F7" s="74">
        <f t="shared" si="4"/>
        <v>0</v>
      </c>
    </row>
    <row r="8" ht="25.5" customHeight="1">
      <c r="A8" s="77" t="s">
        <v>17</v>
      </c>
      <c r="B8" s="71">
        <f>SUMIFS('Daily Ledger'!F5:F304,'Daily Ledger'!B5:B304,"INCOME",'Daily Ledger'!C5:C304,A8)</f>
        <v>0</v>
      </c>
      <c r="C8" s="72">
        <f>SUMIFS('Daily Ledger'!F5:F304,'Daily Ledger'!B5:B304,"EXPENSE",'Daily Ledger'!C5:C304,A8)</f>
        <v>58300</v>
      </c>
      <c r="D8" s="73">
        <f t="shared" si="2"/>
        <v>-58300</v>
      </c>
      <c r="E8" s="74">
        <f t="shared" ref="E8:F8" si="5">IF(B14=0,"-",B8/B14)</f>
        <v>0</v>
      </c>
      <c r="F8" s="74">
        <f t="shared" si="5"/>
        <v>0.8013745704</v>
      </c>
    </row>
    <row r="9" ht="25.5" customHeight="1">
      <c r="A9" s="78" t="s">
        <v>66</v>
      </c>
      <c r="B9" s="71">
        <f>SUMIFS('Daily Ledger'!F5:F304,'Daily Ledger'!B5:B304,"INCOME",'Daily Ledger'!C5:C304,A9)</f>
        <v>0</v>
      </c>
      <c r="C9" s="72">
        <f>SUMIFS('Daily Ledger'!F5:F304,'Daily Ledger'!B5:B304,"EXPENSE",'Daily Ledger'!C5:C304,A9)</f>
        <v>0</v>
      </c>
      <c r="D9" s="73">
        <f t="shared" si="2"/>
        <v>0</v>
      </c>
      <c r="E9" s="74">
        <f t="shared" ref="E9:F9" si="6">IF(B14=0,"-",B9/B14)</f>
        <v>0</v>
      </c>
      <c r="F9" s="74">
        <f t="shared" si="6"/>
        <v>0</v>
      </c>
    </row>
    <row r="10" ht="25.5" customHeight="1">
      <c r="A10" s="79" t="s">
        <v>29</v>
      </c>
      <c r="B10" s="71">
        <f>SUMIFS('Daily Ledger'!F5:F304,'Daily Ledger'!B5:B304,"INCOME",'Daily Ledger'!C5:C304,A10)</f>
        <v>0</v>
      </c>
      <c r="C10" s="72">
        <f>SUMIFS('Daily Ledger'!F5:F304,'Daily Ledger'!B5:B304,"EXPENSE",'Daily Ledger'!C5:C304,A10)</f>
        <v>3500</v>
      </c>
      <c r="D10" s="73">
        <f t="shared" si="2"/>
        <v>-3500</v>
      </c>
      <c r="E10" s="74">
        <f t="shared" ref="E10:F10" si="7">IF(B14=0,"-",B10/B14)</f>
        <v>0</v>
      </c>
      <c r="F10" s="74">
        <f t="shared" si="7"/>
        <v>0.04810996564</v>
      </c>
    </row>
    <row r="11" ht="25.5" customHeight="1">
      <c r="A11" s="80" t="s">
        <v>19</v>
      </c>
      <c r="B11" s="71">
        <f>SUMIFS('Daily Ledger'!F5:F304,'Daily Ledger'!B5:B304,"INCOME",'Daily Ledger'!C5:C304,A11)</f>
        <v>0</v>
      </c>
      <c r="C11" s="72">
        <f>SUMIFS('Daily Ledger'!F5:F304,'Daily Ledger'!B5:B304,"EXPENSE",'Daily Ledger'!C5:C304,A11)</f>
        <v>1250</v>
      </c>
      <c r="D11" s="73">
        <f t="shared" si="2"/>
        <v>-1250</v>
      </c>
      <c r="E11" s="74">
        <f t="shared" ref="E11:F11" si="8">IF(B14=0,"-",B11/B14)</f>
        <v>0</v>
      </c>
      <c r="F11" s="74">
        <f t="shared" si="8"/>
        <v>0.01718213058</v>
      </c>
    </row>
    <row r="12" ht="25.5" customHeight="1">
      <c r="A12" s="81" t="s">
        <v>67</v>
      </c>
      <c r="B12" s="71">
        <f>SUMIFS('Daily Ledger'!F5:F304,'Daily Ledger'!B5:B304,"INCOME",'Daily Ledger'!C5:C304,A12)</f>
        <v>0</v>
      </c>
      <c r="C12" s="72">
        <f>SUMIFS('Daily Ledger'!F5:F304,'Daily Ledger'!B5:B304,"EXPENSE",'Daily Ledger'!C5:C304,A12)</f>
        <v>0</v>
      </c>
      <c r="D12" s="73">
        <f t="shared" si="2"/>
        <v>0</v>
      </c>
      <c r="E12" s="74">
        <f t="shared" ref="E12:F12" si="9">IF(B14=0,"-",B12/B14)</f>
        <v>0</v>
      </c>
      <c r="F12" s="74">
        <f t="shared" si="9"/>
        <v>0</v>
      </c>
    </row>
    <row r="13" ht="6.0" customHeight="1"/>
    <row r="14" ht="27.75" customHeight="1">
      <c r="A14" s="82" t="s">
        <v>68</v>
      </c>
      <c r="B14" s="83">
        <f t="shared" ref="B14:C14" si="10">SUM(B5:B12)</f>
        <v>102400</v>
      </c>
      <c r="C14" s="84">
        <f t="shared" si="10"/>
        <v>72750</v>
      </c>
      <c r="D14" s="85">
        <f>B14-C14</f>
        <v>29650</v>
      </c>
      <c r="E14" s="86" t="s">
        <v>69</v>
      </c>
      <c r="F14" s="86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60.0"/>
    <col customWidth="1" min="3" max="26" width="8.71"/>
  </cols>
  <sheetData>
    <row r="1" ht="31.5" customHeight="1">
      <c r="A1" s="87" t="s">
        <v>70</v>
      </c>
      <c r="B1" s="3"/>
    </row>
    <row r="2" ht="25.5" customHeight="1">
      <c r="A2" s="88" t="s">
        <v>71</v>
      </c>
      <c r="B2" s="89"/>
    </row>
    <row r="3" ht="25.5" customHeight="1">
      <c r="A3" s="90" t="s">
        <v>12</v>
      </c>
      <c r="B3" s="91" t="s">
        <v>72</v>
      </c>
    </row>
    <row r="4" ht="25.5" customHeight="1">
      <c r="A4" s="92" t="s">
        <v>22</v>
      </c>
      <c r="B4" s="93" t="s">
        <v>73</v>
      </c>
    </row>
    <row r="5" ht="25.5" customHeight="1">
      <c r="A5" s="94" t="s">
        <v>65</v>
      </c>
      <c r="B5" s="91" t="s">
        <v>74</v>
      </c>
    </row>
    <row r="6" ht="25.5" customHeight="1">
      <c r="A6" s="95" t="s">
        <v>17</v>
      </c>
      <c r="B6" s="93" t="s">
        <v>75</v>
      </c>
    </row>
    <row r="7" ht="25.5" customHeight="1">
      <c r="A7" s="96" t="s">
        <v>66</v>
      </c>
      <c r="B7" s="91" t="s">
        <v>76</v>
      </c>
    </row>
    <row r="8" ht="25.5" customHeight="1">
      <c r="A8" s="97" t="s">
        <v>29</v>
      </c>
      <c r="B8" s="93" t="s">
        <v>77</v>
      </c>
    </row>
    <row r="9" ht="25.5" customHeight="1">
      <c r="A9" s="98" t="s">
        <v>19</v>
      </c>
      <c r="B9" s="91" t="s">
        <v>78</v>
      </c>
    </row>
    <row r="10" ht="25.5" customHeight="1">
      <c r="A10" s="99" t="s">
        <v>67</v>
      </c>
      <c r="B10" s="93" t="s">
        <v>79</v>
      </c>
    </row>
    <row r="11" ht="25.5" customHeight="1">
      <c r="A11" s="100"/>
      <c r="B11" s="91"/>
    </row>
    <row r="12" ht="25.5" customHeight="1">
      <c r="A12" s="88" t="s">
        <v>80</v>
      </c>
      <c r="B12" s="89" t="s">
        <v>81</v>
      </c>
    </row>
    <row r="13" ht="25.5" customHeight="1">
      <c r="A13" s="101" t="s">
        <v>53</v>
      </c>
      <c r="B13" s="91" t="s">
        <v>82</v>
      </c>
    </row>
    <row r="14" ht="25.5" customHeight="1">
      <c r="A14" s="101" t="s">
        <v>56</v>
      </c>
      <c r="B14" s="93" t="s">
        <v>83</v>
      </c>
    </row>
    <row r="15" ht="25.5" customHeight="1">
      <c r="A15" s="101" t="s">
        <v>55</v>
      </c>
      <c r="B15" s="91" t="s">
        <v>84</v>
      </c>
    </row>
    <row r="16" ht="25.5" customHeight="1">
      <c r="A16" s="101" t="s">
        <v>85</v>
      </c>
      <c r="B16" s="93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